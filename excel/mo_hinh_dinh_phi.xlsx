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34c475d33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ff1c5633d2b84859"/>
    <x:sheet xmlns:r="http://schemas.openxmlformats.org/officeDocument/2006/relationships" name="Giả định" sheetId="2" r:id="R0333dc6371404d16"/>
    <x:sheet xmlns:r="http://schemas.openxmlformats.org/officeDocument/2006/relationships" name="Mô hình" sheetId="3" r:id="Re8da665baf1d48da"/>
    <x:sheet xmlns:r="http://schemas.openxmlformats.org/officeDocument/2006/relationships" name="Công thức" sheetId="4" r:id="R968f35c4898844c7"/>
    <x:sheet xmlns:r="http://schemas.openxmlformats.org/officeDocument/2006/relationships" name="Đối chiếu" sheetId="5" r:id="R7523aa1e055c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(#,##0);-"/>
    <x:numFmt numFmtId="201" formatCode="0.00%"/>
    <x:numFmt numFmtId="202" formatCode="0.000000"/>
    <x:numFmt numFmtId="203" formatCode="0.00"/>
    <x:numFmt numFmtId="204" formatCode="#,##0"/>
    <x:numFmt numFmtId="205" formatCode="0.00x"/>
    <x:numFmt numFmtId="206" formatCode="0.00000"/>
    <x:numFmt numFmtId="207" formatCode="0"/>
    <x:numFmt numFmtId="208" formatCode="0.00&quot;x&quot;"/>
    <x:numFmt numFmtId="209" formatCode="0.000000000000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10"/>
      <x:color rgb="FF5E6B78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sz val="10"/>
      <x:color rgb="FF17324D"/>
      <x:name val="Arial"/>
    </x:font>
    <x:font>
      <x:b/>
      <x:sz val="10"/>
      <x:color rgb="FF17324D"/>
      <x:name val="Arial"/>
    </x:font>
    <x:font>
      <x:b/>
      <x:sz val="10"/>
      <x:color rgb="FF15803D"/>
      <x:name val="Arial"/>
    </x:font>
    <x:font>
      <x:sz val="10"/>
      <x:color rgb="FF15803D"/>
      <x:name val="Arial"/>
    </x:font>
    <x:font>
      <x:i/>
      <x:sz val="10"/>
      <x:color rgb="FF244C7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4EC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FFFFFF"/>
      </x:bottom>
    </x:border>
    <x:border>
      <x:bottom style="thin">
        <x:color rgb="FFD7DEE5"/>
      </x:bottom>
    </x:border>
    <x:border>
      <x:top style="double">
        <x:color rgb="FF17324D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 wrapText="1"/>
    </x:xf>
    <x:xf numFmtId="204" fontId="5" fillId="3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6" fontId="5" fillId="6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207" fontId="5" fillId="0" borderId="0" xfId="0" applyNumberFormat="1" applyFont="1" applyFill="1" applyBorder="1" applyAlignment="1">
      <x:alignment vertical="center"/>
    </x:xf>
    <x:xf numFmtId="207" fontId="5" fillId="0" borderId="2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6" fillId="6" borderId="3" xfId="0" applyNumberFormat="1" applyFont="1" applyFill="1" applyBorder="1"/>
    <x:xf numFmtId="200" fontId="5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6" fillId="6" borderId="3" xfId="0" applyNumberFormat="1" applyFont="1" applyFill="1" applyBorder="1"/>
    <x:xf numFmtId="207" fontId="8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7" fontId="8" fillId="0" borderId="2" xfId="0" applyNumberFormat="1" applyFont="1" applyFill="1" applyBorder="1" applyAlignment="1">
      <x:alignment vertical="center"/>
    </x:xf>
    <x:xf numFmtId="206" fontId="8" fillId="0" borderId="2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202" fontId="6" fillId="6" borderId="3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vertical="center"/>
    </x:xf>
    <x:xf numFmtId="208" fontId="8" fillId="0" borderId="0" xfId="0" applyNumberFormat="1" applyFont="1" applyFill="1" applyBorder="1" applyAlignment="1">
      <x:alignment vertical="center"/>
    </x:xf>
    <x:xf numFmtId="208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8" fontId="4" fillId="3" borderId="0" xfId="0" applyNumberFormat="1" applyFont="1" applyFill="1" applyBorder="1" applyAlignment="1">
      <x:alignment vertical="center"/>
    </x:xf>
    <x:xf numFmtId="206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0" fontId="5" fillId="8" borderId="0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/>
    <x:xf numFmtId="200" fontId="5" fillId="8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8667df3374972" /><Relationship Type="http://schemas.openxmlformats.org/officeDocument/2006/relationships/theme" Target="/xl/theme/theme1.xml" Id="Rb136373df1c34634" /><Relationship Type="http://schemas.openxmlformats.org/officeDocument/2006/relationships/sharedStrings" Target="/xl/sharedStrings.xml" Id="R7f1dc63866774d88" /><Relationship Type="http://schemas.openxmlformats.org/officeDocument/2006/relationships/worksheet" Target="/xl/worksheets/sheet1.xml" Id="Rff1c5633d2b84859" /><Relationship Type="http://schemas.openxmlformats.org/officeDocument/2006/relationships/worksheet" Target="/xl/worksheets/sheet2.xml" Id="R0333dc6371404d16" /><Relationship Type="http://schemas.openxmlformats.org/officeDocument/2006/relationships/worksheet" Target="/xl/worksheets/sheet3.xml" Id="Re8da665baf1d48da" /><Relationship Type="http://schemas.openxmlformats.org/officeDocument/2006/relationships/worksheet" Target="/xl/worksheets/sheet4.xml" Id="R968f35c4898844c7" /><Relationship Type="http://schemas.openxmlformats.org/officeDocument/2006/relationships/worksheet" Target="/xl/worksheets/sheet5.xml" Id="R7523aa1e055c48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7" hidden="0" customWidth="1"/>
    <x:col min="2" max="2" width="24" hidden="0" customWidth="1"/>
    <x:col min="3" max="3" width="17" hidden="0" customWidth="1"/>
    <x:col min="4" max="4" width="21" hidden="0" customWidth="1"/>
    <x:col min="5" max="5" width="56" hidden="0" customWidth="1"/>
    <x:col min="6" max="6" width="18" hidden="0" customWidth="1"/>
    <x:col min="7" max="7" width="18" hidden="0" customWidth="1"/>
    <x:col min="10" max="10" width="53" hidden="0" customWidth="1"/>
    <x:col min="8" max="8" width="20" hidden="0" customWidth="1"/>
    <x:col min="9" max="9" width="20" hidden="0" customWidth="1"/>
  </x:cols>
  <x:sheetData>
    <x:row r="2">
      <x:c r="A2" s="63" t="str">
        <x:v>Mô hình định phí bảo hiểm tử kỳ 20 năm</x:v>
      </x:c>
      <x:c r="B2" s="64"/>
      <x:c r="C2" s="64"/>
      <x:c r="D2" s="64"/>
      <x:c r="E2" s="64"/>
      <x:c r="F2" s="64"/>
      <x:c r="G2" s="64"/>
      <x:c r="H2" s="64"/>
      <x:c r="I2" s="64"/>
      <x:c r="J2" s="64"/>
    </x:row>
    <x:row r="3">
      <x:c r="A3" s="65" t="str">
        <x:v>Phí → dòng tiền → lợi nhuận → kiểm tra kịch bản</x:v>
      </x:c>
      <x:c r="B3" s="64"/>
      <x:c r="C3" s="64"/>
      <x:c r="D3" s="64"/>
      <x:c r="E3" s="64"/>
      <x:c r="F3" s="64"/>
      <x:c r="G3" s="64"/>
      <x:c r="H3" s="64"/>
      <x:c r="I3" s="64"/>
      <x:c r="J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</x:row>
    <x:row r="5">
      <x:c r="A5" s="8" t="str">
        <x:v>Kết quả chính</x:v>
      </x:c>
      <x:c r="B5" s="8" t="str">
        <x:v>Giá trị</x:v>
      </x:c>
      <x:c r="C5" s="64"/>
      <x:c r="D5" s="8" t="str">
        <x:v>Kịch bản đang chọn</x:v>
      </x:c>
      <x:c r="E5" s="8" t="str">
        <x:v>Phạm vi dữ liệu</x:v>
      </x:c>
      <x:c r="F5" s="64"/>
      <x:c r="G5" s="64"/>
      <x:c r="H5" s="64"/>
      <x:c r="I5" s="64"/>
      <x:c r="J5" s="64"/>
    </x:row>
    <x:row r="6">
      <x:c r="A6" s="13" t="str">
        <x:v>Phí năm cần thiết theo giả định đang chọn</x:v>
      </x:c>
      <x:c r="B6" s="17" t="n">
        <x:f>IF((1-'Giả định'!$B$13)*'Mô hình'!$K$28-'Mô hình'!$M$28&lt;=0,"n.a.",('Mô hình'!$Q$28+'Mô hình'!$R$28+'Mô hình'!$S$28)/((1-'Giả định'!$B$13)*'Mô hình'!$K$28-'Mô hình'!$M$28))</x:f>
        <x:v>168227.00006892282</x:v>
      </x:c>
      <x:c r="C6" s="13"/>
      <x:c r="D6" s="25" t="str">
        <x:f>'Giả định'!$F$5</x:f>
        <x:v>Cơ sở</x:v>
      </x:c>
      <x:c r="E6" s="25" t="str">
        <x:f>'Giả định'!$F$13</x:f>
        <x:v>OK</x:v>
      </x:c>
      <x:c r="F6" s="64"/>
      <x:c r="G6" s="64"/>
      <x:c r="H6" s="64"/>
      <x:c r="I6" s="64"/>
      <x:c r="J6" s="64"/>
    </x:row>
    <x:row r="7">
      <x:c r="A7" s="13" t="str">
        <x:v>Phí năm đang dùng trong dòng tiền</x:v>
      </x:c>
      <x:c r="B7" s="17" t="n">
        <x:f>IF('Giả định'!$B$21="",B6,'Giả định'!$B$21)</x:f>
        <x:v>168227.0000689228</x:v>
      </x:c>
      <x:c r="C7" s="13"/>
      <x:c r="D7" s="13"/>
      <x:c r="E7" s="13"/>
      <x:c r="F7" s="64"/>
      <x:c r="G7" s="64"/>
      <x:c r="H7" s="64"/>
      <x:c r="I7" s="64"/>
      <x:c r="J7" s="64"/>
    </x:row>
    <x:row r="8">
      <x:c r="A8" s="13" t="str">
        <x:v>PV phí bảo hiểm</x:v>
      </x:c>
      <x:c r="B8" s="17" t="n">
        <x:f>SUM('Mô hình'!$X$7:$X$26)</x:f>
        <x:v>1520049.35285926</x:v>
      </x:c>
      <x:c r="C8" s="13"/>
      <x:c r="D8" s="8" t="str">
        <x:v>Cách sử dụng</x:v>
      </x:c>
      <x:c r="E8" s="8" t="str">
        <x:v>Việc bạn thực sự làm</x:v>
      </x:c>
      <x:c r="F8" s="64"/>
      <x:c r="G8" s="64"/>
      <x:c r="H8" s="64"/>
      <x:c r="I8" s="64"/>
      <x:c r="J8" s="64"/>
    </x:row>
    <x:row r="9" ht="32" customHeight="1">
      <x:c r="A9" s="13" t="str">
        <x:v>PV quyền lợi tử vong</x:v>
      </x:c>
      <x:c r="B9" s="17" t="n">
        <x:f>SUM('Mô hình'!$Q$7:$Q$26)</x:f>
        <x:v>784665.6665094628</x:v>
      </x:c>
      <x:c r="C9" s="13"/>
      <x:c r="D9" s="13" t="str">
        <x:v>1</x:v>
      </x:c>
      <x:c r="E9" s="26" t="str">
        <x:v>Đọc input; ô nền vàng/chữ xanh là ô nhập. Phí cố định đã bằng phí cơ sở.</x:v>
      </x:c>
      <x:c r="F9" s="64"/>
      <x:c r="G9" s="64"/>
      <x:c r="H9" s="64"/>
      <x:c r="I9" s="64"/>
      <x:c r="J9" s="64"/>
    </x:row>
    <x:row r="10" ht="32" customHeight="1">
      <x:c r="A10" s="13" t="str">
        <x:v>PV chi phí</x:v>
      </x:c>
      <x:c r="B10" s="17" t="n">
        <x:f>SUM('Mô hình'!$R$7:$R$26)+SUM('Mô hình'!$S$7:$S$26)</x:f>
        <x:v>465319.5334036776</x:v>
      </x:c>
      <x:c r="C10" s="13"/>
      <x:c r="D10" s="13" t="str">
        <x:v>2</x:v>
      </x:c>
      <x:c r="E10" s="26" t="str">
        <x:v>Đổi số kịch bản 1–6 để chạy lại cùng build. Phí cố định không đổi.</x:v>
      </x:c>
      <x:c r="F10" s="64"/>
      <x:c r="G10" s="64"/>
      <x:c r="H10" s="64"/>
      <x:c r="I10" s="64"/>
      <x:c r="J10" s="64"/>
    </x:row>
    <x:row r="11" ht="32" customHeight="1">
      <x:c r="A11" s="13" t="str">
        <x:v>PV hoa hồng</x:v>
      </x:c>
      <x:c r="B11" s="17" t="n">
        <x:f>SUM('Mô hình'!$Y$7:$Y$26)</x:f>
        <x:v>118059.21766019374</x:v>
      </x:c>
      <x:c r="C11" s="13"/>
      <x:c r="D11" s="13" t="str">
        <x:v>3</x:v>
      </x:c>
      <x:c r="E11" s="26" t="str">
        <x:v>Để ô phí cố định trống nếu muốn giải lại mức phí theo giả định đang chọn.</x:v>
      </x:c>
      <x:c r="F11" s="64"/>
      <x:c r="G11" s="64"/>
      <x:c r="H11" s="64"/>
      <x:c r="I11" s="64"/>
      <x:c r="J11" s="64"/>
    </x:row>
    <x:row r="12" ht="32" customHeight="1">
      <x:c r="A12" s="13" t="str">
        <x:v>PV dòng tiền thuần (profit đơn giản)</x:v>
      </x:c>
      <x:c r="B12" s="17" t="n">
        <x:f>SUM('Mô hình'!$Z$7:$Z$26)</x:f>
        <x:v>152004.93528592616</x:v>
      </x:c>
      <x:c r="C12" s="13"/>
      <x:c r="D12" s="13" t="str">
        <x:v>4</x:v>
      </x:c>
      <x:c r="E12" s="26" t="str">
        <x:v>Bảng so sánh là bản chụp Excel; chạy script để cập nhật khi thay input.</x:v>
      </x:c>
      <x:c r="F12" s="64"/>
      <x:c r="G12" s="64"/>
      <x:c r="H12" s="64"/>
      <x:c r="I12" s="64"/>
      <x:c r="J12" s="64"/>
    </x:row>
    <x:row r="13" ht="32" customHeight="1">
      <x:c r="A13" s="13" t="str">
        <x:v>Profit margin</x:v>
      </x:c>
      <x:c r="B13" s="18" t="n">
        <x:f>IF(B8=0,"n.a.",B12/B8)</x:f>
        <x:v>0.1000000000000001</x:v>
      </x:c>
      <x:c r="C13" s="13"/>
      <x:c r="D13" s="13" t="str">
        <x:v>5</x:v>
      </x:c>
      <x:c r="E13" s="26" t="str">
        <x:v>Xem docs/phuong_phap.md và kết quả đối chiếu Python–Excel.</x:v>
      </x:c>
      <x:c r="F13" s="64"/>
      <x:c r="G13" s="64"/>
      <x:c r="H13" s="64"/>
      <x:c r="I13" s="64"/>
      <x:c r="J13" s="64"/>
    </x:row>
    <x:row r="14">
      <x:c r="A14" s="13" t="str">
        <x:v>Hợp đồng còn hiệu lực cuối thời hạn</x:v>
      </x:c>
      <x:c r="B14" s="20" t="n">
        <x:f>'Mô hình'!$H$28</x:f>
        <x:v>0.350241802921391</x:v>
      </x:c>
      <x:c r="C14" s="13"/>
      <x:c r="D14" s="13"/>
      <x:c r="E14" s="13"/>
      <x:c r="F14" s="64"/>
      <x:c r="G14" s="64"/>
      <x:c r="H14" s="64"/>
      <x:c r="I14" s="64"/>
      <x:c r="J14" s="64"/>
    </x:row>
    <x:row r="15">
      <x:c r="A15" s="16" t="str">
        <x:v>Profit margin mục tiêu</x:v>
      </x:c>
      <x:c r="B15" s="19" t="n">
        <x:f>'Giả định'!$B$13</x:f>
        <x:v>0.1</x:v>
      </x:c>
      <x:c r="C15" s="13"/>
      <x:c r="D15" s="13"/>
      <x:c r="E15" s="13"/>
      <x:c r="F15" s="64"/>
      <x:c r="G15" s="64"/>
      <x:c r="H15" s="64"/>
      <x:c r="I15" s="64"/>
      <x:c r="J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</x:row>
    <x:row r="17">
      <x:c r="A17" s="65" t="str">
        <x:v>Bản chụp Excel — dữ liệu cấu hình phát hành 2026-10-05; không tự đổi theo ô chọn kịch bản</x:v>
      </x:c>
      <x:c r="B17" s="65"/>
      <x:c r="C17" s="65"/>
      <x:c r="D17" s="65"/>
      <x:c r="E17" s="65"/>
      <x:c r="F17" s="65"/>
      <x:c r="G17" s="65"/>
      <x:c r="H17" s="65"/>
      <x:c r="I17" s="65"/>
      <x:c r="J17" s="65"/>
    </x:row>
    <x:row r="18" ht="34" customHeight="1">
      <x:c r="A18" s="8" t="str">
        <x:v>Số</x:v>
      </x:c>
      <x:c r="B18" s="8" t="str">
        <x:v>Kịch bản</x:v>
      </x:c>
      <x:c r="C18" s="8" t="str">
        <x:v>Phí đang dùng</x:v>
      </x:c>
      <x:c r="D18" s="8" t="str">
        <x:v>PV quyền lợi</x:v>
      </x:c>
      <x:c r="E18" s="8" t="str">
        <x:v>PV chi phí</x:v>
      </x:c>
      <x:c r="F18" s="8" t="str">
        <x:v>PV lợi nhuận</x:v>
      </x:c>
      <x:c r="G18" s="8" t="str">
        <x:v>Profit margin</x:v>
      </x:c>
      <x:c r="H18" s="90" t="str">
        <x:v>Phí cần thiết mới</x:v>
      </x:c>
      <x:c r="I18" s="90" t="str">
        <x:v>Δ margin (điểm %)</x:v>
      </x:c>
      <x:c r="J18" s="90" t="str">
        <x:v>Nhận xét</x:v>
      </x:c>
    </x:row>
    <x:row r="19" ht="42" customHeight="1">
      <x:c r="A19" s="13" t="n">
        <x:v>1</x:v>
      </x:c>
      <x:c r="B19" s="13" t="str">
        <x:v>Cơ sở</x:v>
      </x:c>
      <x:c r="C19" s="86" t="n">
        <x:v>168227.00006892276</x:v>
      </x:c>
      <x:c r="D19" s="86" t="n">
        <x:v>784665.6665094629</x:v>
      </x:c>
      <x:c r="E19" s="86" t="n">
        <x:v>465319.5334036776</x:v>
      </x:c>
      <x:c r="F19" s="86" t="n">
        <x:v>152004.93528592595</x:v>
      </x:c>
      <x:c r="G19" s="87" t="n">
        <x:v>0.09999999999999995</x:v>
      </x:c>
      <x:c r="H19" s="86" t="n">
        <x:v>168227.00006892276</x:v>
      </x:c>
      <x:c r="I19" s="91" t="n">
        <x:f>(G19-$G$19)*100</x:f>
        <x:v>0</x:v>
      </x:c>
      <x:c r="J19" s="92" t="str">
        <x:v>Đạt margin mục tiêu theo giả định cơ sở.</x:v>
      </x:c>
    </x:row>
    <x:row r="20" ht="42" customHeight="1">
      <x:c r="A20" s="13" t="n">
        <x:v>2</x:v>
      </x:c>
      <x:c r="B20" s="13" t="str">
        <x:v>Tử vong +10%</x:v>
      </x:c>
      <x:c r="C20" s="86" t="n">
        <x:v>168227.00006892276</x:v>
      </x:c>
      <x:c r="D20" s="86" t="n">
        <x:v>862487.2637237201</x:v>
      </x:c>
      <x:c r="E20" s="86" t="n">
        <x:v>465133.2836967858</x:v>
      </x:c>
      <x:c r="F20" s="86" t="n">
        <x:v>73644.12025511151</x:v>
      </x:c>
      <x:c r="G20" s="87" t="n">
        <x:v>0.04847285807910354</x:v>
      </x:c>
      <x:c r="H20" s="86" t="n">
        <x:v>178768.2453013339</x:v>
      </x:c>
      <x:c r="I20" s="91" t="n">
        <x:f>(G20-$G$19)*100</x:f>
        <x:v>-5.1527141920896415</x:v>
      </x:c>
      <x:c r="J20" s="92" t="str">
        <x:v>Claim tăng; margin giảm khi giữ nguyên phí.</x:v>
      </x:c>
    </x:row>
    <x:row r="21" ht="42" customHeight="1">
      <x:c r="A21" s="13" t="n">
        <x:v>3</x:v>
      </x:c>
      <x:c r="B21" s="13" t="str">
        <x:v>Hủy hợp đồng +25%</x:v>
      </x:c>
      <x:c r="C21" s="86" t="n">
        <x:v>168227.00006892276</x:v>
      </x:c>
      <x:c r="D21" s="86" t="n">
        <x:v>700605.1782631209</x:v>
      </x:c>
      <x:c r="E21" s="86" t="n">
        <x:v>437394.49549399933</x:v>
      </x:c>
      <x:c r="F21" s="86" t="n">
        <x:v>150684.52151374982</x:v>
      </x:c>
      <x:c r="G21" s="87" t="n">
        <x:v>0.10757187260595694</x:v>
      </x:c>
      <x:c r="H21" s="86" t="n">
        <x:v>166673.5483613936</x:v>
      </x:c>
      <x:c r="I21" s="91" t="n">
        <x:f>(G21-$G$19)*100</x:f>
        <x:v>0.7571872605956986</x:v>
      </x:c>
      <x:c r="J21" s="92" t="str">
        <x:v>Lapse cao loại bỏ một phần dòng tiền âm ở năm xa.</x:v>
      </x:c>
    </x:row>
    <x:row r="22" ht="42" customHeight="1">
      <x:c r="A22" s="13" t="n">
        <x:v>4</x:v>
      </x:c>
      <x:c r="B22" s="13" t="str">
        <x:v>Chi phí +10%</x:v>
      </x:c>
      <x:c r="C22" s="86" t="n">
        <x:v>168227.00006892276</x:v>
      </x:c>
      <x:c r="D22" s="86" t="n">
        <x:v>784665.6665094629</x:v>
      </x:c>
      <x:c r="E22" s="86" t="n">
        <x:v>511851.4867440454</x:v>
      </x:c>
      <x:c r="F22" s="86" t="n">
        <x:v>105472.98194555823</x:v>
      </x:c>
      <x:c r="G22" s="87" t="n">
        <x:v>0.0693878667473265</x:v>
      </x:c>
      <x:c r="H22" s="86" t="n">
        <x:v>174489.41895063524</x:v>
      </x:c>
      <x:c r="I22" s="91" t="n">
        <x:f>(G22-$G$19)*100</x:f>
        <x:v>-3.061213325267345</x:v>
      </x:c>
      <x:c r="J22" s="92" t="str">
        <x:v>Chi phí tăng; phí cố định chưa bù phần tăng.</x:v>
      </x:c>
    </x:row>
    <x:row r="23" ht="42" customHeight="1">
      <x:c r="A23" s="13" t="n">
        <x:v>5</x:v>
      </x:c>
      <x:c r="B23" s="13" t="str">
        <x:v>Lãi suất chiết khấu -1 điểm %</x:v>
      </x:c>
      <x:c r="C23" s="86" t="n">
        <x:v>168227.00006892276</x:v>
      </x:c>
      <x:c r="D23" s="86" t="n">
        <x:v>862616.2854685574</x:v>
      </x:c>
      <x:c r="E23" s="86" t="n">
        <x:v>491525.3398450328</x:v>
      </x:c>
      <x:c r="F23" s="86" t="n">
        <x:v>140229.74380058705</x:v>
      </x:c>
      <x:c r="G23" s="87" t="n">
        <x:v>0.08670646869302955</x:v>
      </x:c>
      <x:c r="H23" s="86" t="n">
        <x:v>170941.0084075935</x:v>
      </x:c>
      <x:c r="I23" s="91" t="n">
        <x:f>(G23-$G$19)*100</x:f>
        <x:v>-1.3293531306970405</x:v>
      </x:c>
      <x:c r="J23" s="92" t="str">
        <x:v>PV dòng tiền xa thay đổi; margin giảm.</x:v>
      </x:c>
    </x:row>
    <x:row r="24" ht="42" customHeight="1">
      <x:c r="A24" s="13" t="n">
        <x:v>6</x:v>
      </x:c>
      <x:c r="B24" s="13" t="str">
        <x:v>Kết hợp</x:v>
      </x:c>
      <x:c r="C24" s="86" t="n">
        <x:v>168227.00006892276</x:v>
      </x:c>
      <x:c r="D24" s="86" t="n">
        <x:v>843390.3227798586</x:v>
      </x:c>
      <x:c r="E24" s="86" t="n">
        <x:v>505914.65917878714</x:v>
      </x:c>
      <x:c r="F24" s="86" t="n">
        <x:v>18947.259661315744</x:v>
      </x:c>
      <x:c r="G24" s="87" t="n">
        <x:v>0.012763087227682162</x:v>
      </x:c>
      <x:c r="H24" s="86" t="n">
        <x:v>186087.70125375123</x:v>
      </x:c>
      <x:c r="I24" s="91" t="n">
        <x:f>(G24-$G$19)*100</x:f>
        <x:v>-8.72369127723178</x:v>
      </x:c>
      <x:c r="J24" s="92" t="str">
        <x:v>Stress kết hợp; margin còn dương trong giả định này.</x:v>
      </x:c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</x:row>
    <x:row r="27">
      <x:c r="A27" s="8" t="str">
        <x:v>Kiểm tra</x:v>
      </x:c>
      <x:c r="B27" s="8" t="str">
        <x:v>Chênh lệch</x:v>
      </x:c>
      <x:c r="C27" s="8" t="str">
        <x:v>Kỳ vọng</x:v>
      </x:c>
      <x:c r="D27" s="64"/>
      <x:c r="E27" s="64"/>
      <x:c r="F27" s="64"/>
      <x:c r="G27" s="64"/>
      <x:c r="H27" s="64"/>
      <x:c r="I27" s="64"/>
      <x:c r="J27" s="64"/>
    </x:row>
    <x:row r="28">
      <x:c r="A28" s="13" t="str">
        <x:v>Đầu kỳ − tử vong − hủy − cuối kỳ</x:v>
      </x:c>
      <x:c r="B28" s="23" t="n">
        <x:f>SUM('Mô hình'!$E$7:$E$26)-SUM('Mô hình'!$F$7:$F$26)-SUM('Mô hình'!$G$7:$G$26)-SUM('Mô hình'!$H$7:$H$26)</x:f>
        <x:v>1.7763568394002505e-15</x:v>
      </x:c>
      <x:c r="C28" s="13" t="n">
        <x:v>0</x:v>
      </x:c>
      <x:c r="D28" s="64"/>
      <x:c r="E28" s="64"/>
      <x:c r="F28" s="64"/>
      <x:c r="G28" s="64"/>
      <x:c r="H28" s="64"/>
      <x:c r="I28" s="64"/>
      <x:c r="J28" s="64"/>
    </x:row>
    <x:row r="29">
      <x:c r="A29" s="13" t="str">
        <x:v>PV profit reconciliation</x:v>
      </x:c>
      <x:c r="B29" s="23" t="n">
        <x:f>SUM('Mô hình'!$Z$7:$Z$26)-(SUM('Mô hình'!$X$7:$X$26)-SUM('Mô hình'!$Q$7:$Q$26)-SUM('Mô hình'!$R$7:$R$26)-SUM('Mô hình'!$S$7:$S$26)-SUM('Mô hình'!$Y$7:$Y$26))</x:f>
        <x:v>1.7462298274040222e-10</x:v>
      </x:c>
      <x:c r="C29" s="13" t="n">
        <x:v>0</x:v>
      </x:c>
      <x:c r="D29" s="64"/>
      <x:c r="E29" s="64"/>
      <x:c r="F29" s="64"/>
      <x:c r="G29" s="64"/>
      <x:c r="H29" s="64"/>
      <x:c r="I29" s="64"/>
      <x:c r="J29" s="64"/>
    </x:row>
    <x:row r="30">
      <x:c r="A30" s="13" t="str">
        <x:v>Chênh lệch phương trình giải phí</x:v>
      </x:c>
      <x:c r="B30" s="23" t="n">
        <x:f>IF(B6="n.a.","n.a.",B6*((1-'Giả định'!$B$13)*'Mô hình'!$K$28-'Mô hình'!$M$28)-('Mô hình'!$Q$28+'Mô hình'!$R$28+'Mô hình'!$S$28))</x:f>
        <x:v>0</x:v>
      </x:c>
      <x:c r="C30" s="13" t="n">
        <x:v>0</x:v>
      </x:c>
      <x:c r="D30" s="64"/>
      <x:c r="E30" s="64"/>
      <x:c r="F30" s="64"/>
      <x:c r="G30" s="64"/>
      <x:c r="H30" s="64"/>
      <x:c r="I30" s="64"/>
      <x:c r="J30" s="64"/>
    </x:row>
    <x:row r="31">
      <x:c r="A31" s="65" t="str">
        <x:v>Giới hạn: PV dòng tiền kỳ vọng; chưa tính reserve, vốn, thuế, tái bảo hiểm, IFRS 17.</x:v>
      </x:c>
      <x:c r="B31" s="65"/>
      <x:c r="C31" s="65"/>
      <x:c r="D31" s="65"/>
      <x:c r="E31" s="65"/>
      <x:c r="F31" s="65"/>
      <x:c r="G31" s="65"/>
      <x:c r="H31" s="65"/>
      <x:c r="I31" s="65"/>
      <x:c r="J31" s="65"/>
    </x:row>
    <x:row r="32">
      <x:c r="A32" s="65" t="str">
        <x:v>Phí/hoa hồng/chi phí ban đầu ở đầu năm; claim/duy trì ở cuối năm. Lapse không có giá trị hoàn lại.</x:v>
      </x:c>
      <x:c r="B32" s="65"/>
      <x:c r="C32" s="65"/>
      <x:c r="D32" s="65"/>
      <x:c r="E32" s="65"/>
      <x:c r="F32" s="65"/>
      <x:c r="G32" s="65"/>
      <x:c r="H32" s="65"/>
      <x:c r="I32" s="65"/>
      <x:c r="J32" s="65"/>
    </x:row>
  </x:sheetData>
  <x:conditionalFormatting sqref="B28:B30">
    <x:cfRule type="cellIs" dxfId="2" priority="1" operator="notBetween">
      <x:formula>-0.01</x:formula>
      <x:formula>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84B1"/>
  </x:sheetPr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57" hidden="0" customWidth="1"/>
    <x:col min="4" max="4" width="4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63" t="str">
        <x:v>Giả định và kịch bản</x:v>
      </x:c>
      <x:c r="B2" s="64"/>
      <x:c r="C2" s="64"/>
      <x:c r="D2" s="64"/>
      <x:c r="E2" s="64"/>
      <x:c r="F2" s="64"/>
      <x:c r="G2" s="64"/>
      <x:c r="H2" s="64"/>
      <x:c r="I2" s="64"/>
      <x:c r="J2" s="64"/>
    </x:row>
    <x:row r="3">
      <x:c r="A3" s="65" t="str">
        <x:v>Ô nền vàng và chữ xanh là ô bạn có thể thay</x:v>
      </x:c>
      <x:c r="B3" s="64"/>
      <x:c r="C3" s="64"/>
      <x:c r="D3" s="64"/>
      <x:c r="E3" s="64"/>
      <x:c r="F3" s="64"/>
      <x:c r="G3" s="64"/>
      <x:c r="H3" s="64"/>
      <x:c r="I3" s="64"/>
      <x:c r="J3" s="64"/>
    </x:row>
    <x:row r="4">
      <x:c r="A4" s="8" t="str">
        <x:v>Bộ điều khiển</x:v>
      </x:c>
      <x:c r="B4" s="8" t="str">
        <x:v>Giá trị</x:v>
      </x:c>
      <x:c r="C4" s="8" t="str">
        <x:v>Giải thích</x:v>
      </x:c>
      <x:c r="D4" s="64"/>
      <x:c r="E4" s="8" t="str">
        <x:v>Giả định đang dùng</x:v>
      </x:c>
      <x:c r="F4" s="8" t="str">
        <x:v>Giá trị</x:v>
      </x:c>
      <x:c r="G4" s="64"/>
      <x:c r="H4" s="64"/>
      <x:c r="I4" s="64"/>
      <x:c r="J4" s="64"/>
    </x:row>
    <x:row r="5">
      <x:c r="A5" s="13" t="str">
        <x:v>Số kịch bản đang chọn</x:v>
      </x:c>
      <x:c r="B5" s="15" t="n">
        <x:v>1</x:v>
      </x:c>
      <x:c r="C5" s="13" t="str">
        <x:v>Nhập số từ 1 đến 6</x:v>
      </x:c>
      <x:c r="D5" s="64"/>
      <x:c r="E5" s="13" t="str">
        <x:v>Tên kịch bản</x:v>
      </x:c>
      <x:c r="F5" s="33" t="str">
        <x:f>INDEX($F$15:$F$20,$B$5)</x:f>
        <x:v>Cơ sở</x:v>
      </x:c>
      <x:c r="G5" s="64"/>
      <x:c r="H5" s="64"/>
      <x:c r="I5" s="64"/>
      <x:c r="J5" s="64"/>
    </x:row>
    <x:row r="6">
      <x:c r="A6" s="13"/>
      <x:c r="B6" s="13"/>
      <x:c r="C6" s="13"/>
      <x:c r="D6" s="64"/>
      <x:c r="E6" s="13" t="str">
        <x:v>Hệ số tử vong</x:v>
      </x:c>
      <x:c r="F6" s="71" t="n">
        <x:f>INDEX($G$15:$G$20,$B$5)</x:f>
        <x:v>1</x:v>
      </x:c>
      <x:c r="G6" s="64"/>
      <x:c r="H6" s="64"/>
      <x:c r="I6" s="64"/>
      <x:c r="J6" s="64"/>
    </x:row>
    <x:row r="7">
      <x:c r="A7" s="8" t="str">
        <x:v>Giả định sản phẩm</x:v>
      </x:c>
      <x:c r="B7" s="8" t="str">
        <x:v>Giá trị</x:v>
      </x:c>
      <x:c r="C7" s="8" t="str">
        <x:v>Giải thích</x:v>
      </x:c>
      <x:c r="D7" s="64"/>
      <x:c r="E7" s="13" t="str">
        <x:v>Tỷ lệ hủy</x:v>
      </x:c>
      <x:c r="F7" s="36" t="n">
        <x:f>$B$14*INDEX($H$15:$H$20,$B$5)</x:f>
        <x:v>0.05</x:v>
      </x:c>
      <x:c r="G7" s="64"/>
      <x:c r="H7" s="64"/>
      <x:c r="I7" s="64"/>
      <x:c r="J7" s="64"/>
    </x:row>
    <x:row r="8">
      <x:c r="A8" s="13" t="str">
        <x:v>Tuổi tham gia</x:v>
      </x:c>
      <x:c r="B8" s="73" t="n">
        <x:v>30</x:v>
      </x:c>
      <x:c r="C8" s="13" t="str">
        <x:v>Thay được nếu bảng qₓ có tuổi tương ứng</x:v>
      </x:c>
      <x:c r="D8" s="64"/>
      <x:c r="E8" s="13" t="str">
        <x:v>Hệ số chi phí</x:v>
      </x:c>
      <x:c r="F8" s="71" t="n">
        <x:f>INDEX($I$15:$I$20,$B$5)</x:f>
        <x:v>1</x:v>
      </x:c>
      <x:c r="G8" s="64"/>
      <x:c r="H8" s="64"/>
      <x:c r="I8" s="64"/>
      <x:c r="J8" s="64"/>
    </x:row>
    <x:row r="9">
      <x:c r="A9" s="13" t="str">
        <x:v>Thời hạn bảo hiểm</x:v>
      </x:c>
      <x:c r="B9" s="73" t="n">
        <x:v>20</x:v>
      </x:c>
      <x:c r="C9" s="13" t="str">
        <x:v>Tối đa 20 năm trong mô hình này</x:v>
      </x:c>
      <x:c r="D9" s="64"/>
      <x:c r="E9" s="13" t="str">
        <x:v>Lãi suất chiết khấu</x:v>
      </x:c>
      <x:c r="F9" s="36" t="n">
        <x:f>$B$15+INDEX($J$15:$J$20,$B$5)</x:f>
        <x:v>0.05</x:v>
      </x:c>
      <x:c r="G9" s="64"/>
      <x:c r="H9" s="64"/>
      <x:c r="I9" s="64"/>
      <x:c r="J9" s="64"/>
    </x:row>
    <x:row r="10">
      <x:c r="A10" s="13" t="str">
        <x:v>Số tiền bảo hiểm</x:v>
      </x:c>
      <x:c r="B10" s="74" t="n">
        <x:v>100000000</x:v>
      </x:c>
      <x:c r="C10" s="13" t="str">
        <x:v>VND</x:v>
      </x:c>
      <x:c r="D10" s="64"/>
      <x:c r="E10" s="13"/>
      <x:c r="F10" s="33"/>
      <x:c r="G10" s="64"/>
      <x:c r="H10" s="64"/>
      <x:c r="I10" s="64"/>
      <x:c r="J10" s="64"/>
    </x:row>
    <x:row r="11">
      <x:c r="A11" s="13" t="str">
        <x:v>Số hợp đồng ban đầu</x:v>
      </x:c>
      <x:c r="B11" s="74" t="n">
        <x:v>1</x:v>
      </x:c>
      <x:c r="C11" s="13" t="str">
        <x:v>Dùng 1 hợp đồng để tính trên mỗi hợp đồng</x:v>
      </x:c>
      <x:c r="D11" s="64"/>
      <x:c r="E11" s="8" t="str">
        <x:v>Kiểm tra phạm vi qₓ</x:v>
      </x:c>
      <x:c r="F11" s="8" t="str">
        <x:v>Trạng thái</x:v>
      </x:c>
      <x:c r="G11" s="64"/>
      <x:c r="H11" s="64"/>
      <x:c r="I11" s="64"/>
      <x:c r="J11" s="64"/>
    </x:row>
    <x:row r="12">
      <x:c r="A12" s="13" t="str"/>
      <x:c r="B12" s="75"/>
      <x:c r="C12" s="13" t="str"/>
      <x:c r="D12" s="64"/>
      <x:c r="E12" s="13" t="str">
        <x:v>Tuổi cuối cùng cần dùng</x:v>
      </x:c>
      <x:c r="F12" s="33" t="n">
        <x:f>$B$8+$B$9-1</x:f>
        <x:v>49</x:v>
      </x:c>
      <x:c r="G12" s="64"/>
      <x:c r="H12" s="64"/>
      <x:c r="I12" s="64"/>
      <x:c r="J12" s="64"/>
    </x:row>
    <x:row r="13">
      <x:c r="A13" s="13" t="str">
        <x:v>Profit margin mục tiêu</x:v>
      </x:c>
      <x:c r="B13" s="76" t="n">
        <x:v>0.1</x:v>
      </x:c>
      <x:c r="C13" s="13" t="str">
        <x:v>PV Profit / PV Premium</x:v>
      </x:c>
      <x:c r="D13" s="64"/>
      <x:c r="E13" s="13" t="str">
        <x:v>Phạm vi bảng qₓ</x:v>
      </x:c>
      <x:c r="F13" s="33" t="str">
        <x:f>IF(AND(B8&gt;=30,F12&lt;=49,B9&gt;=1,B9&lt;=20),"OK","Thiếu tuổi trong nguồn qₓ")</x:f>
        <x:v>OK</x:v>
      </x:c>
      <x:c r="G13" s="64"/>
      <x:c r="H13" s="64"/>
      <x:c r="I13" s="64"/>
      <x:c r="J13" s="64"/>
    </x:row>
    <x:row r="14">
      <x:c r="A14" s="13" t="str">
        <x:v>Tỷ lệ hủy cơ sở</x:v>
      </x:c>
      <x:c r="B14" s="76" t="n">
        <x:v>0.05</x:v>
      </x:c>
      <x:c r="C14" s="13" t="str">
        <x:v>Áp dụng sau tử vong trong năm</x:v>
      </x:c>
      <x:c r="D14" s="64"/>
      <x:c r="E14" s="8" t="str">
        <x:v>Số</x:v>
      </x:c>
      <x:c r="F14" s="8" t="str">
        <x:v>Kịch bản</x:v>
      </x:c>
      <x:c r="G14" s="8" t="str">
        <x:v>Tử vong</x:v>
      </x:c>
      <x:c r="H14" s="8" t="str">
        <x:v>Hủy</x:v>
      </x:c>
      <x:c r="I14" s="8" t="str">
        <x:v>Chi phí</x:v>
      </x:c>
      <x:c r="J14" s="8" t="str">
        <x:v>Thay đổi lãi suất</x:v>
      </x:c>
    </x:row>
    <x:row r="15">
      <x:c r="A15" s="13" t="str">
        <x:v>Lãi suất chiết khấu cơ sở</x:v>
      </x:c>
      <x:c r="B15" s="76" t="n">
        <x:v>0.05</x:v>
      </x:c>
      <x:c r="C15" s="13" t="str">
        <x:v>Phí đầu năm; quyền lợi và chi phí duy trì cuối năm</x:v>
      </x:c>
      <x:c r="D15" s="64"/>
      <x:c r="E15" s="13" t="n">
        <x:v>1</x:v>
      </x:c>
      <x:c r="F15" s="13" t="str">
        <x:v>Cơ sở</x:v>
      </x:c>
      <x:c r="G15" s="77" t="n">
        <x:v>1</x:v>
      </x:c>
      <x:c r="H15" s="77" t="n">
        <x:v>1</x:v>
      </x:c>
      <x:c r="I15" s="77" t="n">
        <x:v>1</x:v>
      </x:c>
      <x:c r="J15" s="76" t="n">
        <x:v>0</x:v>
      </x:c>
    </x:row>
    <x:row r="16">
      <x:c r="A16" s="13" t="str">
        <x:v>Chi phí ban đầu / hợp đồng</x:v>
      </x:c>
      <x:c r="B16" s="74" t="n">
        <x:v>150000</x:v>
      </x:c>
      <x:c r="C16" s="13" t="str">
        <x:v>Chỉ phát sinh ở năm 1</x:v>
      </x:c>
      <x:c r="D16" s="64"/>
      <x:c r="E16" s="13" t="n">
        <x:v>2</x:v>
      </x:c>
      <x:c r="F16" s="13" t="str">
        <x:v>Tử vong +10%</x:v>
      </x:c>
      <x:c r="G16" s="77" t="n">
        <x:v>1.1</x:v>
      </x:c>
      <x:c r="H16" s="77" t="n">
        <x:v>1</x:v>
      </x:c>
      <x:c r="I16" s="77" t="n">
        <x:v>1</x:v>
      </x:c>
      <x:c r="J16" s="76" t="n">
        <x:v>0</x:v>
      </x:c>
    </x:row>
    <x:row r="17">
      <x:c r="A17" s="13" t="str">
        <x:v>Chi phí duy trì năm đầu / hợp đồng</x:v>
      </x:c>
      <x:c r="B17" s="74" t="n">
        <x:v>30000</x:v>
      </x:c>
      <x:c r="C17" s="13" t="str">
        <x:v>Tăng theo lạm phát chi phí</x:v>
      </x:c>
      <x:c r="D17" s="64"/>
      <x:c r="E17" s="13" t="n">
        <x:v>3</x:v>
      </x:c>
      <x:c r="F17" s="13" t="str">
        <x:v>Hủy hợp đồng +25%</x:v>
      </x:c>
      <x:c r="G17" s="77" t="n">
        <x:v>1</x:v>
      </x:c>
      <x:c r="H17" s="77" t="n">
        <x:v>1.25</x:v>
      </x:c>
      <x:c r="I17" s="77" t="n">
        <x:v>1</x:v>
      </x:c>
      <x:c r="J17" s="76" t="n">
        <x:v>0</x:v>
      </x:c>
    </x:row>
    <x:row r="18">
      <x:c r="A18" s="13" t="str">
        <x:v>Lạm phát chi phí</x:v>
      </x:c>
      <x:c r="B18" s="76" t="n">
        <x:v>0.03</x:v>
      </x:c>
      <x:c r="C18" s="13" t="str">
        <x:v>Áp dụng từ năm 2</x:v>
      </x:c>
      <x:c r="D18" s="64"/>
      <x:c r="E18" s="13" t="n">
        <x:v>4</x:v>
      </x:c>
      <x:c r="F18" s="13" t="str">
        <x:v>Chi phí +10%</x:v>
      </x:c>
      <x:c r="G18" s="77" t="n">
        <x:v>1</x:v>
      </x:c>
      <x:c r="H18" s="77" t="n">
        <x:v>1</x:v>
      </x:c>
      <x:c r="I18" s="77" t="n">
        <x:v>1.1</x:v>
      </x:c>
      <x:c r="J18" s="76" t="n">
        <x:v>0</x:v>
      </x:c>
    </x:row>
    <x:row r="19">
      <x:c r="A19" s="13" t="str">
        <x:v>Hoa hồng năm đầu</x:v>
      </x:c>
      <x:c r="B19" s="76" t="n">
        <x:v>0.3</x:v>
      </x:c>
      <x:c r="C19" s="13" t="str">
        <x:v>Tỷ lệ trên phí năm</x:v>
      </x:c>
      <x:c r="D19" s="64"/>
      <x:c r="E19" s="13" t="n">
        <x:v>5</x:v>
      </x:c>
      <x:c r="F19" s="13" t="str">
        <x:v>Lãi suất chiết khấu -1 điểm %</x:v>
      </x:c>
      <x:c r="G19" s="77" t="n">
        <x:v>1</x:v>
      </x:c>
      <x:c r="H19" s="77" t="n">
        <x:v>1</x:v>
      </x:c>
      <x:c r="I19" s="77" t="n">
        <x:v>1</x:v>
      </x:c>
      <x:c r="J19" s="76" t="n">
        <x:v>-0.01</x:v>
      </x:c>
    </x:row>
    <x:row r="20">
      <x:c r="A20" s="13" t="str">
        <x:v>Hoa hồng tái tục</x:v>
      </x:c>
      <x:c r="B20" s="76" t="n">
        <x:v>0.05</x:v>
      </x:c>
      <x:c r="C20" s="13" t="str">
        <x:v>Tỷ lệ trên phí năm</x:v>
      </x:c>
      <x:c r="D20" s="64"/>
      <x:c r="E20" s="13" t="n">
        <x:v>6</x:v>
      </x:c>
      <x:c r="F20" s="13" t="str">
        <x:v>Kết hợp</x:v>
      </x:c>
      <x:c r="G20" s="77" t="n">
        <x:v>1.1</x:v>
      </x:c>
      <x:c r="H20" s="77" t="n">
        <x:v>1.25</x:v>
      </x:c>
      <x:c r="I20" s="77" t="n">
        <x:v>1.1</x:v>
      </x:c>
      <x:c r="J20" s="76" t="n">
        <x:v>-0.01</x:v>
      </x:c>
    </x:row>
    <x:row r="21">
      <x:c r="A21" s="13" t="str">
        <x:v>Phí cố định để test</x:v>
      </x:c>
      <x:c r="B21" s="74" t="n">
        <x:v>168227.0000689228</x:v>
      </x:c>
      <x:c r="C21" s="26" t="str">
        <x:v>Giữ phí này khi stress; để trống khi giải lại phí theo target margin</x:v>
      </x:c>
      <x:c r="D21" s="64"/>
      <x:c r="E21" s="64"/>
      <x:c r="F21" s="64"/>
      <x:c r="G21" s="64"/>
      <x:c r="H21" s="64"/>
      <x:c r="I21" s="64"/>
      <x:c r="J21" s="64"/>
    </x:row>
    <x:row r="22" ht="32" customHeight="1">
      <x:c r="A22" s="64"/>
      <x:c r="B22" s="64"/>
      <x:c r="C22" s="64"/>
      <x:c r="D22" s="64"/>
      <x:c r="E22" s="13" t="str">
        <x:v>Kiểm tra đầu vào</x:v>
      </x:c>
      <x:c r="F22" s="26" t="str">
        <x:f>IF(AND(COUNT(B8:B11,B13:B20)=12,COUNT(F6:F9)=4,COUNT(B31:B50)=20,B10&gt;0,B11&gt;0,B13&gt;=0,B13&lt;1,B14&gt;=0,B14&lt;=1,B16&gt;=0,B17&gt;=0,B18&gt;-1,B19&gt;=0,B19&lt;=1,B20&gt;=0,B20&lt;=1,F6&gt;=0,F7&gt;=0,F7&lt;=1,F8&gt;=0,F9&gt;-1),"OK","Kiểm tra số/giá trị đầu vào")</x:f>
        <x:v>OK</x:v>
      </x:c>
      <x:c r="G22" s="64"/>
      <x:c r="H22" s="64"/>
      <x:c r="I22" s="64"/>
      <x:c r="J22" s="64"/>
    </x:row>
    <x:row r="23" ht="32" customHeight="1">
      <x:c r="A23" s="64"/>
      <x:c r="B23" s="64"/>
      <x:c r="C23" s="64"/>
      <x:c r="D23" s="64"/>
      <x:c r="E23" s="13" t="str">
        <x:v>Phạm vi sản phẩm</x:v>
      </x:c>
      <x:c r="F23" s="26" t="str">
        <x:v>Nam, không hút thuốc; Ultimate</x:v>
      </x:c>
      <x:c r="G23" s="64"/>
      <x:c r="H23" s="64"/>
      <x:c r="I23" s="64"/>
      <x:c r="J23" s="64"/>
    </x:row>
    <x:row r="24" ht="32" customHeight="1">
      <x:c r="A24" s="64"/>
      <x:c r="B24" s="64"/>
      <x:c r="C24" s="64"/>
      <x:c r="D24" s="64"/>
      <x:c r="E24" s="13" t="str">
        <x:v>Quyền lợi sống đến đáo hạn</x:v>
      </x:c>
      <x:c r="F24" s="26" t="str">
        <x:v>0 VND; không hoàn phí</x:v>
      </x:c>
      <x:c r="G24" s="64"/>
      <x:c r="H24" s="64"/>
      <x:c r="I24" s="64"/>
      <x:c r="J24" s="64"/>
    </x:row>
    <x:row r="25" ht="32" customHeight="1">
      <x:c r="A25" s="64"/>
      <x:c r="B25" s="64"/>
      <x:c r="C25" s="64"/>
      <x:c r="D25" s="64"/>
      <x:c r="E25" s="13" t="str">
        <x:v>Thời điểm phí/hoa hồng</x:v>
      </x:c>
      <x:c r="F25" s="26" t="str">
        <x:v>Đầu năm; duy trì/claim cuối năm</x:v>
      </x:c>
      <x:c r="G25" s="64"/>
      <x:c r="H25" s="64"/>
      <x:c r="I25" s="64"/>
      <x:c r="J25" s="64"/>
    </x:row>
    <x:row r="26">
      <x:c r="A26" s="8" t="str">
        <x:v>Bảng xác suất tử vong</x:v>
      </x:c>
      <x:c r="B26" s="8" t="str">
        <x:v>Giá trị</x:v>
      </x:c>
      <x:c r="C26" s="8" t="str">
        <x:v>Nguồn</x:v>
      </x:c>
      <x:c r="D26" s="64"/>
      <x:c r="E26" s="64"/>
      <x:c r="F26" s="64"/>
      <x:c r="G26" s="64"/>
      <x:c r="H26" s="64"/>
      <x:c r="I26" s="64"/>
      <x:c r="J26" s="64"/>
    </x:row>
    <x:row r="27" ht="33" customHeight="1">
      <x:c r="A27" s="13" t="str">
        <x:v>Nguồn qₓ</x:v>
      </x:c>
      <x:c r="B27" s="26" t="str">
        <x:v>SOA MORT, 2015 VBT Male Non-Smoker ALB Ultimate</x:v>
      </x:c>
      <x:c r="C27" s="26" t="str">
        <x:v>https://mort.soa.org/ViewTable.aspx?TableIdentity=3269</x:v>
      </x:c>
      <x:c r="D27" s="64"/>
      <x:c r="E27" s="64"/>
      <x:c r="F27" s="64"/>
      <x:c r="G27" s="64"/>
      <x:c r="H27" s="64"/>
      <x:c r="I27" s="64"/>
      <x:c r="J27" s="64"/>
    </x:row>
    <x:row r="28" ht="33" customHeight="1">
      <x:c r="A28" s="13" t="str">
        <x:v>Giới hạn</x:v>
      </x:c>
      <x:c r="B28" s="26" t="str">
        <x:v>Dữ liệu Hoa Kỳ dùng để học, không phải cơ sở định phí hiện hành tại Việt Nam.</x:v>
      </x:c>
      <x:c r="C28" s="26" t="str"/>
      <x:c r="D28" s="64"/>
      <x:c r="E28" s="64"/>
      <x:c r="F28" s="64"/>
      <x:c r="G28" s="64"/>
      <x:c r="H28" s="64"/>
      <x:c r="I28" s="64"/>
      <x:c r="J28" s="64"/>
    </x:row>
    <x:row r="29">
      <x:c r="A29" s="13"/>
      <x:c r="B29" s="13"/>
      <x:c r="C29" s="13"/>
      <x:c r="D29" s="64"/>
      <x:c r="E29" s="64"/>
      <x:c r="F29" s="64"/>
      <x:c r="G29" s="64"/>
      <x:c r="H29" s="64"/>
      <x:c r="I29" s="64"/>
      <x:c r="J29" s="64"/>
    </x:row>
    <x:row r="30">
      <x:c r="A30" s="8" t="str">
        <x:v>Tuổi</x:v>
      </x:c>
      <x:c r="B30" s="8" t="str">
        <x:v>qₓ</x:v>
      </x:c>
      <x:c r="C30" s="13"/>
      <x:c r="D30" s="64"/>
      <x:c r="E30" s="64"/>
      <x:c r="F30" s="64"/>
      <x:c r="G30" s="64"/>
      <x:c r="H30" s="64"/>
      <x:c r="I30" s="64"/>
      <x:c r="J30" s="64"/>
    </x:row>
    <x:row r="31">
      <x:c r="A31" s="13" t="n">
        <x:v>30</x:v>
      </x:c>
      <x:c r="B31" s="78" t="n">
        <x:v>0.00046</x:v>
      </x:c>
      <x:c r="C31" s="13"/>
      <x:c r="D31" s="64"/>
      <x:c r="E31" s="64"/>
      <x:c r="F31" s="64"/>
      <x:c r="G31" s="64"/>
      <x:c r="H31" s="64"/>
      <x:c r="I31" s="64"/>
      <x:c r="J31" s="64"/>
    </x:row>
    <x:row r="32">
      <x:c r="A32" s="13" t="n">
        <x:v>31</x:v>
      </x:c>
      <x:c r="B32" s="78" t="n">
        <x:v>0.00049</x:v>
      </x:c>
      <x:c r="C32" s="13"/>
      <x:c r="D32" s="64"/>
      <x:c r="E32" s="64"/>
      <x:c r="F32" s="64"/>
      <x:c r="G32" s="64"/>
      <x:c r="H32" s="64"/>
      <x:c r="I32" s="64"/>
      <x:c r="J32" s="64"/>
    </x:row>
    <x:row r="33">
      <x:c r="A33" s="13" t="n">
        <x:v>32</x:v>
      </x:c>
      <x:c r="B33" s="78" t="n">
        <x:v>0.00052</x:v>
      </x:c>
      <x:c r="C33" s="13"/>
      <x:c r="D33" s="64"/>
      <x:c r="E33" s="64"/>
      <x:c r="F33" s="64"/>
      <x:c r="G33" s="64"/>
      <x:c r="H33" s="64"/>
      <x:c r="I33" s="64"/>
      <x:c r="J33" s="64"/>
    </x:row>
    <x:row r="34">
      <x:c r="A34" s="13" t="n">
        <x:v>33</x:v>
      </x:c>
      <x:c r="B34" s="78" t="n">
        <x:v>0.00058</x:v>
      </x:c>
      <x:c r="C34" s="13"/>
      <x:c r="D34" s="64"/>
      <x:c r="E34" s="64"/>
      <x:c r="F34" s="64"/>
      <x:c r="G34" s="64"/>
      <x:c r="H34" s="64"/>
      <x:c r="I34" s="64"/>
      <x:c r="J34" s="64"/>
    </x:row>
    <x:row r="35">
      <x:c r="A35" s="13" t="n">
        <x:v>34</x:v>
      </x:c>
      <x:c r="B35" s="78" t="n">
        <x:v>0.00066</x:v>
      </x:c>
      <x:c r="C35" s="13"/>
      <x:c r="D35" s="64"/>
      <x:c r="E35" s="64"/>
      <x:c r="F35" s="64"/>
      <x:c r="G35" s="64"/>
      <x:c r="H35" s="64"/>
      <x:c r="I35" s="64"/>
      <x:c r="J35" s="64"/>
    </x:row>
    <x:row r="36">
      <x:c r="A36" s="13" t="n">
        <x:v>35</x:v>
      </x:c>
      <x:c r="B36" s="78" t="n">
        <x:v>0.00077</x:v>
      </x:c>
      <x:c r="C36" s="13"/>
      <x:c r="D36" s="64"/>
      <x:c r="E36" s="64"/>
      <x:c r="F36" s="64"/>
      <x:c r="G36" s="64"/>
      <x:c r="H36" s="64"/>
      <x:c r="I36" s="64"/>
      <x:c r="J36" s="64"/>
    </x:row>
    <x:row r="37">
      <x:c r="A37" s="13" t="n">
        <x:v>36</x:v>
      </x:c>
      <x:c r="B37" s="78" t="n">
        <x:v>0.00089</x:v>
      </x:c>
      <x:c r="C37" s="13"/>
      <x:c r="D37" s="64"/>
      <x:c r="E37" s="64"/>
      <x:c r="F37" s="64"/>
      <x:c r="G37" s="64"/>
      <x:c r="H37" s="64"/>
      <x:c r="I37" s="64"/>
      <x:c r="J37" s="64"/>
    </x:row>
    <x:row r="38">
      <x:c r="A38" s="13" t="n">
        <x:v>37</x:v>
      </x:c>
      <x:c r="B38" s="78" t="n">
        <x:v>0.00101</x:v>
      </x:c>
      <x:c r="C38" s="13"/>
      <x:c r="D38" s="64"/>
      <x:c r="E38" s="64"/>
      <x:c r="F38" s="64"/>
      <x:c r="G38" s="64"/>
      <x:c r="H38" s="64"/>
      <x:c r="I38" s="64"/>
      <x:c r="J38" s="64"/>
    </x:row>
    <x:row r="39">
      <x:c r="A39" s="13" t="n">
        <x:v>38</x:v>
      </x:c>
      <x:c r="B39" s="78" t="n">
        <x:v>0.00111</x:v>
      </x:c>
      <x:c r="C39" s="13"/>
      <x:c r="D39" s="64"/>
      <x:c r="E39" s="64"/>
      <x:c r="F39" s="64"/>
      <x:c r="G39" s="64"/>
      <x:c r="H39" s="64"/>
      <x:c r="I39" s="64"/>
      <x:c r="J39" s="64"/>
    </x:row>
    <x:row r="40">
      <x:c r="A40" s="13" t="n">
        <x:v>39</x:v>
      </x:c>
      <x:c r="B40" s="78" t="n">
        <x:v>0.00117</x:v>
      </x:c>
      <x:c r="C40" s="13"/>
      <x:c r="D40" s="64"/>
      <x:c r="E40" s="64"/>
      <x:c r="F40" s="64"/>
      <x:c r="G40" s="64"/>
      <x:c r="H40" s="64"/>
      <x:c r="I40" s="64"/>
      <x:c r="J40" s="64"/>
    </x:row>
    <x:row r="41">
      <x:c r="A41" s="13" t="n">
        <x:v>40</x:v>
      </x:c>
      <x:c r="B41" s="78" t="n">
        <x:v>0.00124</x:v>
      </x:c>
      <x:c r="C41" s="13"/>
      <x:c r="D41" s="64"/>
      <x:c r="E41" s="64"/>
      <x:c r="F41" s="64"/>
      <x:c r="G41" s="64"/>
      <x:c r="H41" s="64"/>
      <x:c r="I41" s="64"/>
      <x:c r="J41" s="64"/>
    </x:row>
    <x:row r="42">
      <x:c r="A42" s="13" t="n">
        <x:v>41</x:v>
      </x:c>
      <x:c r="B42" s="78" t="n">
        <x:v>0.00131</x:v>
      </x:c>
      <x:c r="C42" s="13"/>
      <x:c r="D42" s="64"/>
      <x:c r="E42" s="64"/>
      <x:c r="F42" s="64"/>
      <x:c r="G42" s="64"/>
      <x:c r="H42" s="64"/>
      <x:c r="I42" s="64"/>
      <x:c r="J42" s="64"/>
    </x:row>
    <x:row r="43">
      <x:c r="A43" s="13" t="n">
        <x:v>42</x:v>
      </x:c>
      <x:c r="B43" s="78" t="n">
        <x:v>0.0014</x:v>
      </x:c>
      <x:c r="C43" s="13"/>
      <x:c r="D43" s="64"/>
      <x:c r="E43" s="64"/>
      <x:c r="F43" s="64"/>
      <x:c r="G43" s="64"/>
      <x:c r="H43" s="64"/>
      <x:c r="I43" s="64"/>
      <x:c r="J43" s="64"/>
    </x:row>
    <x:row r="44">
      <x:c r="A44" s="13" t="n">
        <x:v>43</x:v>
      </x:c>
      <x:c r="B44" s="78" t="n">
        <x:v>0.00148</x:v>
      </x:c>
      <x:c r="C44" s="13"/>
      <x:c r="D44" s="64"/>
      <x:c r="E44" s="64"/>
      <x:c r="F44" s="64"/>
      <x:c r="G44" s="64"/>
      <x:c r="H44" s="64"/>
      <x:c r="I44" s="64"/>
      <x:c r="J44" s="64"/>
    </x:row>
    <x:row r="45">
      <x:c r="A45" s="13" t="n">
        <x:v>44</x:v>
      </x:c>
      <x:c r="B45" s="78" t="n">
        <x:v>0.00154</x:v>
      </x:c>
      <x:c r="C45" s="13"/>
      <x:c r="D45" s="64"/>
      <x:c r="E45" s="64"/>
      <x:c r="F45" s="64"/>
      <x:c r="G45" s="64"/>
      <x:c r="H45" s="64"/>
      <x:c r="I45" s="64"/>
      <x:c r="J45" s="64"/>
    </x:row>
    <x:row r="46">
      <x:c r="A46" s="13" t="n">
        <x:v>45</x:v>
      </x:c>
      <x:c r="B46" s="78" t="n">
        <x:v>0.00159</x:v>
      </x:c>
      <x:c r="C46" s="13"/>
      <x:c r="D46" s="64"/>
      <x:c r="E46" s="64"/>
      <x:c r="F46" s="64"/>
      <x:c r="G46" s="64"/>
      <x:c r="H46" s="64"/>
      <x:c r="I46" s="64"/>
      <x:c r="J46" s="64"/>
    </x:row>
    <x:row r="47">
      <x:c r="A47" s="13" t="n">
        <x:v>46</x:v>
      </x:c>
      <x:c r="B47" s="78" t="n">
        <x:v>0.00165</x:v>
      </x:c>
      <x:c r="C47" s="13"/>
      <x:c r="D47" s="64"/>
      <x:c r="E47" s="64"/>
      <x:c r="F47" s="64"/>
      <x:c r="G47" s="64"/>
      <x:c r="H47" s="64"/>
      <x:c r="I47" s="64"/>
      <x:c r="J47" s="64"/>
    </x:row>
    <x:row r="48">
      <x:c r="A48" s="13" t="n">
        <x:v>47</x:v>
      </x:c>
      <x:c r="B48" s="78" t="n">
        <x:v>0.00171</x:v>
      </x:c>
      <x:c r="C48" s="13"/>
      <x:c r="D48" s="64"/>
      <x:c r="E48" s="64"/>
      <x:c r="F48" s="64"/>
      <x:c r="G48" s="64"/>
      <x:c r="H48" s="64"/>
      <x:c r="I48" s="64"/>
      <x:c r="J48" s="64"/>
    </x:row>
    <x:row r="49">
      <x:c r="A49" s="13" t="n">
        <x:v>48</x:v>
      </x:c>
      <x:c r="B49" s="78" t="n">
        <x:v>0.00179</x:v>
      </x:c>
      <x:c r="C49" s="13"/>
      <x:c r="D49" s="64"/>
      <x:c r="E49" s="64"/>
      <x:c r="F49" s="64"/>
      <x:c r="G49" s="64"/>
      <x:c r="H49" s="64"/>
      <x:c r="I49" s="64"/>
      <x:c r="J49" s="64"/>
    </x:row>
    <x:row r="50">
      <x:c r="A50" s="13" t="n">
        <x:v>49</x:v>
      </x:c>
      <x:c r="B50" s="78" t="n">
        <x:v>0.00188</x:v>
      </x:c>
      <x:c r="C50" s="13"/>
      <x:c r="D50" s="64"/>
      <x:c r="E50" s="64"/>
      <x:c r="F50" s="64"/>
      <x:c r="G50" s="64"/>
      <x:c r="H50" s="64"/>
      <x:c r="I50" s="64"/>
      <x:c r="J50" s="64"/>
    </x:row>
  </x:sheetData>
  <x:conditionalFormatting sqref="F13:F13">
    <x:cfRule type="containsText" dxfId="0" priority="1" operator="containsText" text="Thiếu"/>
  </x:conditionalFormatting>
  <x:conditionalFormatting sqref="F22:F22">
    <x:cfRule type="containsText" dxfId="1" priority="2" operator="containsText" text="Kiểm tra"/>
  </x:conditionalFormatting>
  <x:dataValidations count="15">
    <x:dataValidation type="whole" operator="between" sqref="B5">
      <x:formula1>1</x:formula1>
      <x:formula2>6</x:formula2>
    </x:dataValidation>
    <x:dataValidation type="whole" operator="between" sqref="B8">
      <x:formula1>30</x:formula1>
      <x:formula2>49</x:formula2>
    </x:dataValidation>
    <x:dataValidation type="whole" operator="between" sqref="B9">
      <x:formula1>1</x:formula1>
      <x:formula2>20</x:formula2>
    </x:dataValidation>
    <x:dataValidation type="decimal" operator="greaterThan" sqref="B10">
      <x:formula1>0</x:formula1>
    </x:dataValidation>
    <x:dataValidation type="decimal" operator="greaterThan" sqref="B11">
      <x:formula1>0</x:formula1>
    </x:dataValidation>
    <x:dataValidation type="decimal" operator="between" sqref="B14">
      <x:formula1>0</x:formula1>
      <x:formula2>1</x:formula2>
    </x:dataValidation>
    <x:dataValidation type="decimal" operator="between" sqref="B19">
      <x:formula1>0</x:formula1>
      <x:formula2>1</x:formula2>
    </x:dataValidation>
    <x:dataValidation type="decimal" operator="between" sqref="B20">
      <x:formula1>0</x:formula1>
      <x:formula2>1</x:formula2>
    </x:dataValidation>
    <x:dataValidation type="decimal" operator="greaterThanOrEqual" sqref="B16">
      <x:formula1>0</x:formula1>
    </x:dataValidation>
    <x:dataValidation type="decimal" operator="greaterThanOrEqual" sqref="B17">
      <x:formula1>0</x:formula1>
    </x:dataValidation>
    <x:dataValidation type="decimal" operator="greaterThanOrEqual" sqref="B21">
      <x:formula1>0</x:formula1>
    </x:dataValidation>
    <x:dataValidation type="decimal" operator="between" sqref="B13">
      <x:formula1>0</x:formula1>
      <x:formula2>0.999999</x:formula2>
    </x:dataValidation>
    <x:dataValidation type="decimal" operator="greaterThan" sqref="B15">
      <x:formula1>-1</x:formula1>
    </x:dataValidation>
    <x:dataValidation type="decimal" operator="greaterThan" sqref="B18">
      <x:formula1>-1</x:formula1>
    </x:dataValidation>
    <x:dataValidation type="decimal" operator="between" sqref="B31:B50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C9AB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22" hidden="0" customWidth="1"/>
    <x:col min="28" max="28" width="22" hidden="0" customWidth="1"/>
  </x:cols>
  <x:sheetData>
    <x:row r="2">
      <x:c r="A2" s="63" t="str">
        <x:v>Dự phóng hợp đồng và dòng tiền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</x:row>
    <x:row r="3">
      <x:c r="A3" s="65" t="str">
        <x:v>Một mô hình duy nhất dùng giả định đang chọn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</x:row>
    <x:row r="4">
      <x:c r="A4" s="25" t="str">
        <x:v>Kịch bản đang chọn</x:v>
      </x:c>
      <x:c r="B4" s="25" t="str">
        <x:f>'Giả định'!$F$5</x:f>
        <x:v>Cơ sở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</x:row>
    <x:row r="6" ht="46" customHeight="1">
      <x:c r="A6" s="8" t="str">
        <x:v>Năm</x:v>
      </x:c>
      <x:c r="B6" s="8" t="str">
        <x:v>Tuổi</x:v>
      </x:c>
      <x:c r="C6" s="8" t="str">
        <x:v>qₓ gốc</x:v>
      </x:c>
      <x:c r="D6" s="8" t="str">
        <x:v>qₓ áp dụng</x:v>
      </x:c>
      <x:c r="E6" s="8" t="str">
        <x:v>Hiệu lực đầu năm</x:v>
      </x:c>
      <x:c r="F6" s="8" t="str">
        <x:v>Tử vong</x:v>
      </x:c>
      <x:c r="G6" s="8" t="str">
        <x:v>Hủy</x:v>
      </x:c>
      <x:c r="H6" s="8" t="str">
        <x:v>Hiệu lực cuối năm</x:v>
      </x:c>
      <x:c r="I6" s="8" t="str">
        <x:v>DF đầu năm</x:v>
      </x:c>
      <x:c r="J6" s="8" t="str">
        <x:v>DF cuối năm</x:v>
      </x:c>
      <x:c r="K6" s="8" t="str">
        <x:v>PV exposure phí</x:v>
      </x:c>
      <x:c r="L6" s="8" t="str">
        <x:v>Tỷ lệ hoa hồng</x:v>
      </x:c>
      <x:c r="M6" s="8" t="str">
        <x:v>PV hệ số hoa hồng</x:v>
      </x:c>
      <x:c r="N6" s="8" t="str">
        <x:v>Quyền lợi tử vong</x:v>
      </x:c>
      <x:c r="O6" s="8" t="str">
        <x:v>Chi phí ban đầu</x:v>
      </x:c>
      <x:c r="P6" s="8" t="str">
        <x:v>Chi phí duy trì</x:v>
      </x:c>
      <x:c r="Q6" s="8" t="str">
        <x:v>PV quyền lợi</x:v>
      </x:c>
      <x:c r="R6" s="8" t="str">
        <x:v>PV CP ban đầu</x:v>
      </x:c>
      <x:c r="S6" s="8" t="str">
        <x:v>PV CP duy trì</x:v>
      </x:c>
      <x:c r="T6" s="8" t="str">
        <x:v>Phí năm đang dùng</x:v>
      </x:c>
      <x:c r="U6" s="8" t="str">
        <x:v>Phí thu</x:v>
      </x:c>
      <x:c r="V6" s="8" t="str">
        <x:v>Hoa hồng</x:v>
      </x:c>
      <x:c r="W6" s="8" t="str">
        <x:v>Dòng tiền thuần</x:v>
      </x:c>
      <x:c r="X6" s="8" t="str">
        <x:v>PV phí</x:v>
      </x:c>
      <x:c r="Y6" s="8" t="str">
        <x:v>PV hoa hồng</x:v>
      </x:c>
      <x:c r="Z6" s="8" t="str">
        <x:v>PV lợi nhuận</x:v>
      </x:c>
      <x:c r="AA6" s="93" t="str">
        <x:v>Sai lệch hiệu lực</x:v>
      </x:c>
      <x:c r="AB6" s="93" t="str">
        <x:v>Sai lệch nối năm</x:v>
      </x:c>
    </x:row>
    <x:row r="7">
      <x:c r="A7" s="43" t="n">
        <x:f>1</x:f>
        <x:v>1</x:v>
      </x:c>
      <x:c r="B7" s="53" t="n">
        <x:f>IF(A7&lt;='Giả định'!$B$9,'Giả định'!$B$8+A7-1,"")</x:f>
        <x:v>30</x:v>
      </x:c>
      <x:c r="C7" s="54" t="n">
        <x:f>IF(A7&lt;='Giả định'!$B$9,IF(COUNTIFS('Giả định'!$A$31:$A$50,B7,'Giả định'!$B$31:$B$50,"&lt;&gt;")=1,INDEX('Giả định'!$B$31:$B$50,MATCH(B7,'Giả định'!$A$31:$A$50,0)),NA()),"")</x:f>
        <x:v>0.00046</x:v>
      </x:c>
      <x:c r="D7" s="54" t="n">
        <x:f>IF(A7&lt;='Giả định'!$B$9,C7*'Giả định'!$F$6,"")</x:f>
        <x:v>0.00046</x:v>
      </x:c>
      <x:c r="E7" s="20" t="n">
        <x:f>IF(A7&lt;='Giả định'!$B$9,'Giả định'!$B$11,"")</x:f>
        <x:v>1</x:v>
      </x:c>
      <x:c r="F7" s="20" t="n">
        <x:f>IF(A7&lt;='Giả định'!$B$9,E7*D7,"")</x:f>
        <x:v>0.00046</x:v>
      </x:c>
      <x:c r="G7" s="20" t="n">
        <x:f>IF(A7&lt;='Giả định'!$B$9,(E7-F7)*'Giả định'!$F$7,"")</x:f>
        <x:v>0.049977</x:v>
      </x:c>
      <x:c r="H7" s="20" t="n">
        <x:f>IF(A7&lt;='Giả định'!$B$9,E7-F7-G7,"")</x:f>
        <x:v>0.9495629999999999</x:v>
      </x:c>
      <x:c r="I7" s="20" t="n">
        <x:f>IF(A7&lt;='Giả định'!$B$9,1/(1+'Giả định'!$F$9)^(A7-1),"")</x:f>
        <x:v>1</x:v>
      </x:c>
      <x:c r="J7" s="20" t="n">
        <x:f>IF(A7&lt;='Giả định'!$B$9,1/(1+'Giả định'!$F$9)^A7,"")</x:f>
        <x:v>0.9523809523809523</x:v>
      </x:c>
      <x:c r="K7" s="20" t="n">
        <x:f>IF(A7&lt;='Giả định'!$B$9,E7*I7,"")</x:f>
        <x:v>1</x:v>
      </x:c>
      <x:c r="L7" s="18" t="n">
        <x:f>IF(A7&lt;='Giả định'!$B$9,IF(A7=1,'Giả định'!$B$19,'Giả định'!$B$20),"")</x:f>
        <x:v>0.3</x:v>
      </x:c>
      <x:c r="M7" s="20" t="n">
        <x:f>IF(A7&lt;='Giả định'!$B$9,E7*L7*I7,"")</x:f>
        <x:v>0.3</x:v>
      </x:c>
      <x:c r="N7" s="17" t="n">
        <x:f>IF(A7&lt;='Giả định'!$B$9,F7*'Giả định'!$B$10,"")</x:f>
        <x:v>46000</x:v>
      </x:c>
      <x:c r="O7" s="17" t="n">
        <x:f>IF(A7&lt;='Giả định'!$B$9,IF(A7=1,E7*'Giả định'!$B$16*'Giả định'!$F$8,0),"")</x:f>
        <x:v>150000</x:v>
      </x:c>
      <x:c r="P7" s="17" t="n">
        <x:f>IF(A7&lt;='Giả định'!$B$9,E7*'Giả định'!$B$17*(1+'Giả định'!$B$18)^(A7-1)*'Giả định'!$F$8,"")</x:f>
        <x:v>30000</x:v>
      </x:c>
      <x:c r="Q7" s="17" t="n">
        <x:f>IF(A7&lt;='Giả định'!$B$9,N7*J7,"")</x:f>
        <x:v>43809.52380952381</x:v>
      </x:c>
      <x:c r="R7" s="17" t="n">
        <x:f>IF(A7&lt;='Giả định'!$B$9,O7*I7,"")</x:f>
        <x:v>150000</x:v>
      </x:c>
      <x:c r="S7" s="17" t="n">
        <x:f>IF(A7&lt;='Giả định'!$B$9,P7*J7,"")</x:f>
        <x:v>28571.42857142857</x:v>
      </x:c>
      <x:c r="T7" s="57" t="n">
        <x:f>IF(A7&lt;='Giả định'!$B$9,'Tổng quan'!$B$7,"")</x:f>
        <x:v>168227.0000689228</x:v>
      </x:c>
      <x:c r="U7" s="17" t="n">
        <x:f>IF(A7&lt;='Giả định'!$B$9,E7*T7,"")</x:f>
        <x:v>168227.0000689228</x:v>
      </x:c>
      <x:c r="V7" s="17" t="n">
        <x:f>IF(A7&lt;='Giả định'!$B$9,U7*L7,"")</x:f>
        <x:v>50468.10002067684</x:v>
      </x:c>
      <x:c r="W7" s="17" t="n">
        <x:f>IF(A7&lt;='Giả định'!$B$9,U7-N7-O7-P7-V7,"")</x:f>
        <x:v>-108241.09995175405</x:v>
      </x:c>
      <x:c r="X7" s="17" t="n">
        <x:f>IF(A7&lt;='Giả định'!$B$9,U7*I7,"")</x:f>
        <x:v>168227.0000689228</x:v>
      </x:c>
      <x:c r="Y7" s="17" t="n">
        <x:f>IF(A7&lt;='Giả định'!$B$9,V7*I7,"")</x:f>
        <x:v>50468.10002067684</x:v>
      </x:c>
      <x:c r="Z7" s="17" t="n">
        <x:f>IF(A7&lt;='Giả định'!$B$9,X7-Q7-R7-S7-Y7,"")</x:f>
        <x:v>-104622.05233270643</x:v>
      </x:c>
      <x:c r="AA7" s="94" t="n">
        <x:f>IF(A7&lt;='Giả định'!$B$9,E7-F7-G7-H7,"")</x:f>
        <x:v>0</x:v>
      </x:c>
      <x:c r="AB7" s="94" t="n">
        <x:v>0</x:v>
      </x:c>
    </x:row>
    <x:row r="8">
      <x:c r="A8" s="43" t="n">
        <x:f>A7+1</x:f>
        <x:v>2</x:v>
      </x:c>
      <x:c r="B8" s="53" t="n">
        <x:f>IF(A8&lt;='Giả định'!$B$9,'Giả định'!$B$8+A8-1,"")</x:f>
        <x:v>31</x:v>
      </x:c>
      <x:c r="C8" s="54" t="n">
        <x:f>IF(A8&lt;='Giả định'!$B$9,IF(COUNTIFS('Giả định'!$A$31:$A$50,B8,'Giả định'!$B$31:$B$50,"&lt;&gt;")=1,INDEX('Giả định'!$B$31:$B$50,MATCH(B8,'Giả định'!$A$31:$A$50,0)),NA()),"")</x:f>
        <x:v>0.00049</x:v>
      </x:c>
      <x:c r="D8" s="54" t="n">
        <x:f>IF(A8&lt;='Giả định'!$B$9,C8*'Giả định'!$F$6,"")</x:f>
        <x:v>0.00049</x:v>
      </x:c>
      <x:c r="E8" s="20" t="n">
        <x:f>IF(A8&lt;='Giả định'!$B$9,H7,"")</x:f>
        <x:v>0.9495629999999999</x:v>
      </x:c>
      <x:c r="F8" s="20" t="n">
        <x:f>IF(A8&lt;='Giả định'!$B$9,E8*D8,"")</x:f>
        <x:v>0.00046528586999999995</x:v>
      </x:c>
      <x:c r="G8" s="20" t="n">
        <x:f>IF(A8&lt;='Giả định'!$B$9,(E8-F8)*'Giả định'!$F$7,"")</x:f>
        <x:v>0.0474548857065</x:v>
      </x:c>
      <x:c r="H8" s="20" t="n">
        <x:f>IF(A8&lt;='Giả định'!$B$9,E8-F8-G8,"")</x:f>
        <x:v>0.9016428284234999</x:v>
      </x:c>
      <x:c r="I8" s="20" t="n">
        <x:f>IF(A8&lt;='Giả định'!$B$9,1/(1+'Giả định'!$F$9)^(A8-1),"")</x:f>
        <x:v>0.9523809523809523</x:v>
      </x:c>
      <x:c r="J8" s="20" t="n">
        <x:f>IF(A8&lt;='Giả định'!$B$9,1/(1+'Giả định'!$F$9)^A8,"")</x:f>
        <x:v>0.9070294784580498</x:v>
      </x:c>
      <x:c r="K8" s="20" t="n">
        <x:f>IF(A8&lt;='Giả định'!$B$9,E8*I8,"")</x:f>
        <x:v>0.9043457142857142</x:v>
      </x:c>
      <x:c r="L8" s="18" t="n">
        <x:f>IF(A8&lt;='Giả định'!$B$9,IF(A8=1,'Giả định'!$B$19,'Giả định'!$B$20),"")</x:f>
        <x:v>0.05</x:v>
      </x:c>
      <x:c r="M8" s="20" t="n">
        <x:f>IF(A8&lt;='Giả định'!$B$9,E8*L8*I8,"")</x:f>
        <x:v>0.04521728571428571</x:v>
      </x:c>
      <x:c r="N8" s="17" t="n">
        <x:f>IF(A8&lt;='Giả định'!$B$9,F8*'Giả định'!$B$10,"")</x:f>
        <x:v>46528.58699999999</x:v>
      </x:c>
      <x:c r="O8" s="17" t="n">
        <x:f>IF(A8&lt;='Giả định'!$B$9,IF(A8=1,E8*'Giả định'!$B$16*'Giả định'!$F$8,0),"")</x:f>
        <x:v>0</x:v>
      </x:c>
      <x:c r="P8" s="17" t="n">
        <x:f>IF(A8&lt;='Giả định'!$B$9,E8*'Giả định'!$B$17*(1+'Giả định'!$B$18)^(A8-1)*'Giả định'!$F$8,"")</x:f>
        <x:v>29341.4967</x:v>
      </x:c>
      <x:c r="Q8" s="17" t="n">
        <x:f>IF(A8&lt;='Giả định'!$B$9,N8*J8,"")</x:f>
        <x:v>42202.79999999999</x:v>
      </x:c>
      <x:c r="R8" s="17" t="n">
        <x:f>IF(A8&lt;='Giả định'!$B$9,O8*I8,"")</x:f>
        <x:v>0</x:v>
      </x:c>
      <x:c r="S8" s="17" t="n">
        <x:f>IF(A8&lt;='Giả định'!$B$9,P8*J8,"")</x:f>
        <x:v>26613.60244897959</x:v>
      </x:c>
      <x:c r="T8" s="57" t="n">
        <x:f>IF(A8&lt;='Giả định'!$B$9,'Tổng quan'!$B$7,"")</x:f>
        <x:v>168227.0000689228</x:v>
      </x:c>
      <x:c r="U8" s="17" t="n">
        <x:f>IF(A8&lt;='Giả định'!$B$9,E8*T8,"")</x:f>
        <x:v>159742.13486644652</x:v>
      </x:c>
      <x:c r="V8" s="17" t="n">
        <x:f>IF(A8&lt;='Giả định'!$B$9,U8*L8,"")</x:f>
        <x:v>7987.106743322326</x:v>
      </x:c>
      <x:c r="W8" s="17" t="n">
        <x:f>IF(A8&lt;='Giả định'!$B$9,U8-N8-O8-P8-V8,"")</x:f>
        <x:v>75884.9444231242</x:v>
      </x:c>
      <x:c r="X8" s="17" t="n">
        <x:f>IF(A8&lt;='Giả định'!$B$9,U8*I8,"")</x:f>
        <x:v>152135.36653947286</x:v>
      </x:c>
      <x:c r="Y8" s="17" t="n">
        <x:f>IF(A8&lt;='Giả định'!$B$9,V8*I8,"")</x:f>
        <x:v>7606.7683269736435</x:v>
      </x:c>
      <x:c r="Z8" s="17" t="n">
        <x:f>IF(A8&lt;='Giả định'!$B$9,X8-Q8-R8-S8-Y8,"")</x:f>
        <x:v>75712.19576351963</x:v>
      </x:c>
      <x:c r="AA8" s="94" t="n">
        <x:f>IF(A8&lt;='Giả định'!$B$9,E8-F8-G8-H8,"")</x:f>
        <x:v>0</x:v>
      </x:c>
      <x:c r="AB8" s="94" t="n">
        <x:f>IF(A8&lt;='Giả định'!$B$9,E8-H7,"")</x:f>
        <x:v>0</x:v>
      </x:c>
    </x:row>
    <x:row r="9">
      <x:c r="A9" s="43" t="n">
        <x:f>A8+1</x:f>
        <x:v>3</x:v>
      </x:c>
      <x:c r="B9" s="53" t="n">
        <x:f>IF(A9&lt;='Giả định'!$B$9,'Giả định'!$B$8+A9-1,"")</x:f>
        <x:v>32</x:v>
      </x:c>
      <x:c r="C9" s="54" t="n">
        <x:f>IF(A9&lt;='Giả định'!$B$9,IF(COUNTIFS('Giả định'!$A$31:$A$50,B9,'Giả định'!$B$31:$B$50,"&lt;&gt;")=1,INDEX('Giả định'!$B$31:$B$50,MATCH(B9,'Giả định'!$A$31:$A$50,0)),NA()),"")</x:f>
        <x:v>0.00052</x:v>
      </x:c>
      <x:c r="D9" s="54" t="n">
        <x:f>IF(A9&lt;='Giả định'!$B$9,C9*'Giả định'!$F$6,"")</x:f>
        <x:v>0.00052</x:v>
      </x:c>
      <x:c r="E9" s="20" t="n">
        <x:f>IF(A9&lt;='Giả định'!$B$9,H8,"")</x:f>
        <x:v>0.9016428284234999</x:v>
      </x:c>
      <x:c r="F9" s="20" t="n">
        <x:f>IF(A9&lt;='Giả định'!$B$9,E9*D9,"")</x:f>
        <x:v>0.0004688542707802199</x:v>
      </x:c>
      <x:c r="G9" s="20" t="n">
        <x:f>IF(A9&lt;='Giả định'!$B$9,(E9-F9)*'Giả định'!$F$7,"")</x:f>
        <x:v>0.045058698707635986</x:v>
      </x:c>
      <x:c r="H9" s="20" t="n">
        <x:f>IF(A9&lt;='Giả định'!$B$9,E9-F9-G9,"")</x:f>
        <x:v>0.8561152754450836</x:v>
      </x:c>
      <x:c r="I9" s="20" t="n">
        <x:f>IF(A9&lt;='Giả định'!$B$9,1/(1+'Giả định'!$F$9)^(A9-1),"")</x:f>
        <x:v>0.9070294784580498</x:v>
      </x:c>
      <x:c r="J9" s="20" t="n">
        <x:f>IF(A9&lt;='Giả định'!$B$9,1/(1+'Giả định'!$F$9)^A9,"")</x:f>
        <x:v>0.863837598531476</x:v>
      </x:c>
      <x:c r="K9" s="20" t="n">
        <x:f>IF(A9&lt;='Giả định'!$B$9,E9*I9,"")</x:f>
        <x:v>0.8178166244204079</x:v>
      </x:c>
      <x:c r="L9" s="18" t="n">
        <x:f>IF(A9&lt;='Giả định'!$B$9,IF(A9=1,'Giả định'!$B$19,'Giả định'!$B$20),"")</x:f>
        <x:v>0.05</x:v>
      </x:c>
      <x:c r="M9" s="20" t="n">
        <x:f>IF(A9&lt;='Giả định'!$B$9,E9*L9*I9,"")</x:f>
        <x:v>0.0408908312210204</x:v>
      </x:c>
      <x:c r="N9" s="17" t="n">
        <x:f>IF(A9&lt;='Giả định'!$B$9,F9*'Giả định'!$B$10,"")</x:f>
        <x:v>46885.42707802199</x:v>
      </x:c>
      <x:c r="O9" s="17" t="n">
        <x:f>IF(A9&lt;='Giả định'!$B$9,IF(A9=1,E9*'Giả định'!$B$16*'Giả định'!$F$8,0),"")</x:f>
        <x:v>0</x:v>
      </x:c>
      <x:c r="P9" s="17" t="n">
        <x:f>IF(A9&lt;='Giả định'!$B$9,E9*'Giả định'!$B$17*(1+'Giả định'!$B$18)^(A9-1)*'Giả định'!$F$8,"")</x:f>
        <x:v>28696.58630023473</x:v>
      </x:c>
      <x:c r="Q9" s="17" t="n">
        <x:f>IF(A9&lt;='Giả định'!$B$9,N9*J9,"")</x:f>
        <x:v>40501.39473320115</x:v>
      </x:c>
      <x:c r="R9" s="17" t="n">
        <x:f>IF(A9&lt;='Giả định'!$B$9,O9*I9,"")</x:f>
        <x:v>0</x:v>
      </x:c>
      <x:c r="S9" s="17" t="n">
        <x:f>IF(A9&lt;='Giả định'!$B$9,P9*J9,"")</x:f>
        <x:v>24789.19019564602</x:v>
      </x:c>
      <x:c r="T9" s="57" t="n">
        <x:f>IF(A9&lt;='Giả định'!$B$9,'Tổng quan'!$B$7,"")</x:f>
        <x:v>168227.0000689228</x:v>
      </x:c>
      <x:c r="U9" s="17" t="n">
        <x:f>IF(A9&lt;='Giả định'!$B$9,E9*T9,"")</x:f>
        <x:v>151680.66815934386</x:v>
      </x:c>
      <x:c r="V9" s="17" t="n">
        <x:f>IF(A9&lt;='Giả định'!$B$9,U9*L9,"")</x:f>
        <x:v>7584.033407967193</x:v>
      </x:c>
      <x:c r="W9" s="17" t="n">
        <x:f>IF(A9&lt;='Giả định'!$B$9,U9-N9-O9-P9-V9,"")</x:f>
        <x:v>68514.62137311995</x:v>
      </x:c>
      <x:c r="X9" s="17" t="n">
        <x:f>IF(A9&lt;='Giả định'!$B$9,U9*I9,"")</x:f>
        <x:v>137578.83733273819</x:v>
      </x:c>
      <x:c r="Y9" s="17" t="n">
        <x:f>IF(A9&lt;='Giả định'!$B$9,V9*I9,"")</x:f>
        <x:v>6878.941866636909</x:v>
      </x:c>
      <x:c r="Z9" s="17" t="n">
        <x:f>IF(A9&lt;='Giả định'!$B$9,X9-Q9-R9-S9-Y9,"")</x:f>
        <x:v>65409.310537254096</x:v>
      </x:c>
      <x:c r="AA9" s="94" t="n">
        <x:f>IF(A9&lt;='Giả định'!$B$9,E9-F9-G9-H9,"")</x:f>
        <x:v>0</x:v>
      </x:c>
      <x:c r="AB9" s="94" t="n">
        <x:f>IF(A9&lt;='Giả định'!$B$9,E9-H8,"")</x:f>
        <x:v>0</x:v>
      </x:c>
    </x:row>
    <x:row r="10">
      <x:c r="A10" s="43" t="n">
        <x:f>A9+1</x:f>
        <x:v>4</x:v>
      </x:c>
      <x:c r="B10" s="53" t="n">
        <x:f>IF(A10&lt;='Giả định'!$B$9,'Giả định'!$B$8+A10-1,"")</x:f>
        <x:v>33</x:v>
      </x:c>
      <x:c r="C10" s="54" t="n">
        <x:f>IF(A10&lt;='Giả định'!$B$9,IF(COUNTIFS('Giả định'!$A$31:$A$50,B10,'Giả định'!$B$31:$B$50,"&lt;&gt;")=1,INDEX('Giả định'!$B$31:$B$50,MATCH(B10,'Giả định'!$A$31:$A$50,0)),NA()),"")</x:f>
        <x:v>0.00058</x:v>
      </x:c>
      <x:c r="D10" s="54" t="n">
        <x:f>IF(A10&lt;='Giả định'!$B$9,C10*'Giả định'!$F$6,"")</x:f>
        <x:v>0.00058</x:v>
      </x:c>
      <x:c r="E10" s="20" t="n">
        <x:f>IF(A10&lt;='Giả định'!$B$9,H9,"")</x:f>
        <x:v>0.8561152754450836</x:v>
      </x:c>
      <x:c r="F10" s="20" t="n">
        <x:f>IF(A10&lt;='Giả định'!$B$9,E10*D10,"")</x:f>
        <x:v>0.0004965468597581485</x:v>
      </x:c>
      <x:c r="G10" s="20" t="n">
        <x:f>IF(A10&lt;='Giả định'!$B$9,(E10-F10)*'Giả định'!$F$7,"")</x:f>
        <x:v>0.042780936429266274</x:v>
      </x:c>
      <x:c r="H10" s="20" t="n">
        <x:f>IF(A10&lt;='Giả định'!$B$9,E10-F10-G10,"")</x:f>
        <x:v>0.8128377921560591</x:v>
      </x:c>
      <x:c r="I10" s="20" t="n">
        <x:f>IF(A10&lt;='Giả định'!$B$9,1/(1+'Giả định'!$F$9)^(A10-1),"")</x:f>
        <x:v>0.863837598531476</x:v>
      </x:c>
      <x:c r="J10" s="20" t="n">
        <x:f>IF(A10&lt;='Giả định'!$B$9,1/(1+'Giả định'!$F$9)^A10,"")</x:f>
        <x:v>0.8227024747918819</x:v>
      </x:c>
      <x:c r="K10" s="20" t="n">
        <x:f>IF(A10&lt;='Giả định'!$B$9,E10*I10,"")</x:f>
        <x:v>0.7395445636065942</x:v>
      </x:c>
      <x:c r="L10" s="18" t="n">
        <x:f>IF(A10&lt;='Giả định'!$B$9,IF(A10=1,'Giả định'!$B$19,'Giả định'!$B$20),"")</x:f>
        <x:v>0.05</x:v>
      </x:c>
      <x:c r="M10" s="20" t="n">
        <x:f>IF(A10&lt;='Giả định'!$B$9,E10*L10*I10,"")</x:f>
        <x:v>0.03697722818032971</x:v>
      </x:c>
      <x:c r="N10" s="17" t="n">
        <x:f>IF(A10&lt;='Giả định'!$B$9,F10*'Giả định'!$B$10,"")</x:f>
        <x:v>49654.68597581485</x:v>
      </x:c>
      <x:c r="O10" s="17" t="n">
        <x:f>IF(A10&lt;='Giả định'!$B$9,IF(A10=1,E10*'Giả định'!$B$16*'Giả định'!$F$8,0),"")</x:f>
        <x:v>0</x:v>
      </x:c>
      <x:c r="P10" s="17" t="n">
        <x:f>IF(A10&lt;='Giả định'!$B$9,E10*'Giả định'!$B$17*(1+'Giả định'!$B$18)^(A10-1)*'Giả định'!$F$8,"")</x:f>
        <x:v>28065.008297738394</x:v>
      </x:c>
      <x:c r="Q10" s="17" t="n">
        <x:f>IF(A10&lt;='Giả định'!$B$9,N10*J10,"")</x:f>
        <x:v>40851.03303731663</x:v>
      </x:c>
      <x:c r="R10" s="17" t="n">
        <x:f>IF(A10&lt;='Giả định'!$B$9,O10*I10,"")</x:f>
        <x:v>0</x:v>
      </x:c>
      <x:c r="S10" s="17" t="n">
        <x:f>IF(A10&lt;='Giả định'!$B$9,P10*J10,"")</x:f>
        <x:v>23089.151781604076</x:v>
      </x:c>
      <x:c r="T10" s="57" t="n">
        <x:f>IF(A10&lt;='Giả định'!$B$9,'Tổng quan'!$B$7,"")</x:f>
        <x:v>168227.0000689228</x:v>
      </x:c>
      <x:c r="U10" s="17" t="n">
        <x:f>IF(A10&lt;='Giả định'!$B$9,E10*T10,"")</x:f>
        <x:v>144021.70450130594</x:v>
      </x:c>
      <x:c r="V10" s="17" t="n">
        <x:f>IF(A10&lt;='Giả định'!$B$9,U10*L10,"")</x:f>
        <x:v>7201.085225065297</x:v>
      </x:c>
      <x:c r="W10" s="17" t="n">
        <x:f>IF(A10&lt;='Giả định'!$B$9,U10-N10-O10-P10-V10,"")</x:f>
        <x:v>59100.92500268741</x:v>
      </x:c>
      <x:c r="X10" s="17" t="n">
        <x:f>IF(A10&lt;='Giả định'!$B$9,U10*I10,"")</x:f>
        <x:v>124411.36335281799</x:v>
      </x:c>
      <x:c r="Y10" s="17" t="n">
        <x:f>IF(A10&lt;='Giả định'!$B$9,V10*I10,"")</x:f>
        <x:v>6220.568167640899</x:v>
      </x:c>
      <x:c r="Z10" s="17" t="n">
        <x:f>IF(A10&lt;='Giả định'!$B$9,X10-Q10-R10-S10-Y10,"")</x:f>
        <x:v>54250.6103662564</x:v>
      </x:c>
      <x:c r="AA10" s="94" t="n">
        <x:f>IF(A10&lt;='Giả định'!$B$9,E10-F10-G10-H10,"")</x:f>
        <x:v>0</x:v>
      </x:c>
      <x:c r="AB10" s="94" t="n">
        <x:f>IF(A10&lt;='Giả định'!$B$9,E10-H9,"")</x:f>
        <x:v>0</x:v>
      </x:c>
    </x:row>
    <x:row r="11">
      <x:c r="A11" s="43" t="n">
        <x:f>A10+1</x:f>
        <x:v>5</x:v>
      </x:c>
      <x:c r="B11" s="53" t="n">
        <x:f>IF(A11&lt;='Giả định'!$B$9,'Giả định'!$B$8+A11-1,"")</x:f>
        <x:v>34</x:v>
      </x:c>
      <x:c r="C11" s="54" t="n">
        <x:f>IF(A11&lt;='Giả định'!$B$9,IF(COUNTIFS('Giả định'!$A$31:$A$50,B11,'Giả định'!$B$31:$B$50,"&lt;&gt;")=1,INDEX('Giả định'!$B$31:$B$50,MATCH(B11,'Giả định'!$A$31:$A$50,0)),NA()),"")</x:f>
        <x:v>0.00066</x:v>
      </x:c>
      <x:c r="D11" s="54" t="n">
        <x:f>IF(A11&lt;='Giả định'!$B$9,C11*'Giả định'!$F$6,"")</x:f>
        <x:v>0.00066</x:v>
      </x:c>
      <x:c r="E11" s="20" t="n">
        <x:f>IF(A11&lt;='Giả định'!$B$9,H10,"")</x:f>
        <x:v>0.8128377921560591</x:v>
      </x:c>
      <x:c r="F11" s="20" t="n">
        <x:f>IF(A11&lt;='Giả định'!$B$9,E11*D11,"")</x:f>
        <x:v>0.000536472942822999</x:v>
      </x:c>
      <x:c r="G11" s="20" t="n">
        <x:f>IF(A11&lt;='Giả định'!$B$9,(E11-F11)*'Giả định'!$F$7,"")</x:f>
        <x:v>0.040615065960661806</x:v>
      </x:c>
      <x:c r="H11" s="20" t="n">
        <x:f>IF(A11&lt;='Giả định'!$B$9,E11-F11-G11,"")</x:f>
        <x:v>0.7716862532525743</x:v>
      </x:c>
      <x:c r="I11" s="20" t="n">
        <x:f>IF(A11&lt;='Giả định'!$B$9,1/(1+'Giả định'!$F$9)^(A11-1),"")</x:f>
        <x:v>0.8227024747918819</x:v>
      </x:c>
      <x:c r="J11" s="20" t="n">
        <x:f>IF(A11&lt;='Giả định'!$B$9,1/(1+'Giả định'!$F$9)^A11,"")</x:f>
        <x:v>0.7835261664684589</x:v>
      </x:c>
      <x:c r="K11" s="20" t="n">
        <x:f>IF(A11&lt;='Giả định'!$B$9,E11*I11,"")</x:f>
        <x:v>0.6687236632111592</x:v>
      </x:c>
      <x:c r="L11" s="18" t="n">
        <x:f>IF(A11&lt;='Giả định'!$B$9,IF(A11=1,'Giả định'!$B$19,'Giả định'!$B$20),"")</x:f>
        <x:v>0.05</x:v>
      </x:c>
      <x:c r="M11" s="20" t="n">
        <x:f>IF(A11&lt;='Giả định'!$B$9,E11*L11*I11,"")</x:f>
        <x:v>0.033436183160557964</x:v>
      </x:c>
      <x:c r="N11" s="17" t="n">
        <x:f>IF(A11&lt;='Giả định'!$B$9,F11*'Giả định'!$B$10,"")</x:f>
        <x:v>53647.2942822999</x:v>
      </x:c>
      <x:c r="O11" s="17" t="n">
        <x:f>IF(A11&lt;='Giả định'!$B$9,IF(A11=1,E11*'Giả định'!$B$16*'Giả định'!$F$8,0),"")</x:f>
        <x:v>0</x:v>
      </x:c>
      <x:c r="P11" s="17" t="n">
        <x:f>IF(A11&lt;='Giả định'!$B$9,E11*'Giả định'!$B$17*(1+'Giả định'!$B$18)^(A11-1)*'Giả định'!$F$8,"")</x:f>
        <x:v>27445.68288517781</x:v>
      </x:c>
      <x:c r="Q11" s="17" t="n">
        <x:f>IF(A11&lt;='Giả định'!$B$9,N11*J11,"")</x:f>
        <x:v>42034.05883041571</x:v>
      </x:c>
      <x:c r="R11" s="17" t="n">
        <x:f>IF(A11&lt;='Giả định'!$B$9,O11*I11,"")</x:f>
        <x:v>0</x:v>
      </x:c>
      <x:c r="S11" s="17" t="n">
        <x:f>IF(A11&lt;='Giả định'!$B$9,P11*J11,"")</x:f>
        <x:v>21504.41069713236</x:v>
      </x:c>
      <x:c r="T11" s="57" t="n">
        <x:f>IF(A11&lt;='Giả định'!$B$9,'Tổng quan'!$B$7,"")</x:f>
        <x:v>168227.0000689228</x:v>
      </x:c>
      <x:c r="U11" s="17" t="n">
        <x:f>IF(A11&lt;='Giả định'!$B$9,E11*T11,"")</x:f>
        <x:v>136741.2633170604</x:v>
      </x:c>
      <x:c r="V11" s="17" t="n">
        <x:f>IF(A11&lt;='Giả định'!$B$9,U11*L11,"")</x:f>
        <x:v>6837.06316585302</x:v>
      </x:c>
      <x:c r="W11" s="17" t="n">
        <x:f>IF(A11&lt;='Giả định'!$B$9,U11-N11-O11-P11-V11,"")</x:f>
        <x:v>48811.22298372966</x:v>
      </x:c>
      <x:c r="X11" s="17" t="n">
        <x:f>IF(A11&lt;='Giả định'!$B$9,U11*I11,"")</x:f>
        <x:v>112497.37573711397</x:v>
      </x:c>
      <x:c r="Y11" s="17" t="n">
        <x:f>IF(A11&lt;='Giả định'!$B$9,V11*I11,"")</x:f>
        <x:v>5624.868786855698</x:v>
      </x:c>
      <x:c r="Z11" s="17" t="n">
        <x:f>IF(A11&lt;='Giả định'!$B$9,X11-Q11-R11-S11-Y11,"")</x:f>
        <x:v>43334.03742271019</x:v>
      </x:c>
      <x:c r="AA11" s="94" t="n">
        <x:f>IF(A11&lt;='Giả định'!$B$9,E11-F11-G11-H11,"")</x:f>
        <x:v>0</x:v>
      </x:c>
      <x:c r="AB11" s="94" t="n">
        <x:f>IF(A11&lt;='Giả định'!$B$9,E11-H10,"")</x:f>
        <x:v>0</x:v>
      </x:c>
    </x:row>
    <x:row r="12">
      <x:c r="A12" s="43" t="n">
        <x:f>A11+1</x:f>
        <x:v>6</x:v>
      </x:c>
      <x:c r="B12" s="53" t="n">
        <x:f>IF(A12&lt;='Giả định'!$B$9,'Giả định'!$B$8+A12-1,"")</x:f>
        <x:v>35</x:v>
      </x:c>
      <x:c r="C12" s="54" t="n">
        <x:f>IF(A12&lt;='Giả định'!$B$9,IF(COUNTIFS('Giả định'!$A$31:$A$50,B12,'Giả định'!$B$31:$B$50,"&lt;&gt;")=1,INDEX('Giả định'!$B$31:$B$50,MATCH(B12,'Giả định'!$A$31:$A$50,0)),NA()),"")</x:f>
        <x:v>0.00077</x:v>
      </x:c>
      <x:c r="D12" s="54" t="n">
        <x:f>IF(A12&lt;='Giả định'!$B$9,C12*'Giả định'!$F$6,"")</x:f>
        <x:v>0.00077</x:v>
      </x:c>
      <x:c r="E12" s="20" t="n">
        <x:f>IF(A12&lt;='Giả định'!$B$9,H11,"")</x:f>
        <x:v>0.7716862532525743</x:v>
      </x:c>
      <x:c r="F12" s="20" t="n">
        <x:f>IF(A12&lt;='Giả định'!$B$9,E12*D12,"")</x:f>
        <x:v>0.0005941984150044822</x:v>
      </x:c>
      <x:c r="G12" s="20" t="n">
        <x:f>IF(A12&lt;='Giả định'!$B$9,(E12-F12)*'Giả định'!$F$7,"")</x:f>
        <x:v>0.038554602741878496</x:v>
      </x:c>
      <x:c r="H12" s="20" t="n">
        <x:f>IF(A12&lt;='Giả định'!$B$9,E12-F12-G12,"")</x:f>
        <x:v>0.7325374520956913</x:v>
      </x:c>
      <x:c r="I12" s="20" t="n">
        <x:f>IF(A12&lt;='Giả định'!$B$9,1/(1+'Giả định'!$F$9)^(A12-1),"")</x:f>
        <x:v>0.7835261664684589</x:v>
      </x:c>
      <x:c r="J12" s="20" t="n">
        <x:f>IF(A12&lt;='Giả định'!$B$9,1/(1+'Giả định'!$F$9)^A12,"")</x:f>
        <x:v>0.7462153966366274</x:v>
      </x:c>
      <x:c r="K12" s="20" t="n">
        <x:f>IF(A12&lt;='Giả định'!$B$9,E12*I12,"")</x:f>
        <x:v>0.6046363717273978</x:v>
      </x:c>
      <x:c r="L12" s="18" t="n">
        <x:f>IF(A12&lt;='Giả định'!$B$9,IF(A12=1,'Giả định'!$B$19,'Giả định'!$B$20),"")</x:f>
        <x:v>0.05</x:v>
      </x:c>
      <x:c r="M12" s="20" t="n">
        <x:f>IF(A12&lt;='Giả định'!$B$9,E12*L12*I12,"")</x:f>
        <x:v>0.030231818586369894</x:v>
      </x:c>
      <x:c r="N12" s="17" t="n">
        <x:f>IF(A12&lt;='Giả định'!$B$9,F12*'Giả định'!$B$10,"")</x:f>
        <x:v>59419.841500448216</x:v>
      </x:c>
      <x:c r="O12" s="17" t="n">
        <x:f>IF(A12&lt;='Giả định'!$B$9,IF(A12=1,E12*'Giả định'!$B$16*'Giả định'!$F$8,0),"")</x:f>
        <x:v>0</x:v>
      </x:c>
      <x:c r="P12" s="17" t="n">
        <x:f>IF(A12&lt;='Giả định'!$B$9,E12*'Giả định'!$B$17*(1+'Giả định'!$B$18)^(A12-1)*'Giả định'!$F$8,"")</x:f>
        <x:v>26837.876006682403</x:v>
      </x:c>
      <x:c r="Q12" s="17" t="n">
        <x:f>IF(A12&lt;='Giả định'!$B$9,N12*J12,"")</x:f>
        <x:v>44340.0005933425</x:v>
      </x:c>
      <x:c r="R12" s="17" t="n">
        <x:f>IF(A12&lt;='Giả định'!$B$9,O12*I12,"")</x:f>
        <x:v>0</x:v>
      </x:c>
      <x:c r="S12" s="17" t="n">
        <x:f>IF(A12&lt;='Giả định'!$B$9,P12*J12,"")</x:f>
        <x:v>20026.836289211136</x:v>
      </x:c>
      <x:c r="T12" s="57" t="n">
        <x:f>IF(A12&lt;='Giả định'!$B$9,'Tổng quan'!$B$7,"")</x:f>
        <x:v>168227.0000689228</x:v>
      </x:c>
      <x:c r="U12" s="17" t="n">
        <x:f>IF(A12&lt;='Giả định'!$B$9,E12*T12,"")</x:f>
        <x:v>129818.46337910759</x:v>
      </x:c>
      <x:c r="V12" s="17" t="n">
        <x:f>IF(A12&lt;='Giả định'!$B$9,U12*L12,"")</x:f>
        <x:v>6490.92316895538</x:v>
      </x:c>
      <x:c r="W12" s="17" t="n">
        <x:f>IF(A12&lt;='Giả định'!$B$9,U12-N12-O12-P12-V12,"")</x:f>
        <x:v>37069.8227030216</x:v>
      </x:c>
      <x:c r="X12" s="17" t="n">
        <x:f>IF(A12&lt;='Giả định'!$B$9,U12*I12,"")</x:f>
        <x:v>101716.16294825818</x:v>
      </x:c>
      <x:c r="Y12" s="17" t="n">
        <x:f>IF(A12&lt;='Giả định'!$B$9,V12*I12,"")</x:f>
        <x:v>5085.808147412909</x:v>
      </x:c>
      <x:c r="Z12" s="17" t="n">
        <x:f>IF(A12&lt;='Giả định'!$B$9,X12-Q12-R12-S12-Y12,"")</x:f>
        <x:v>32263.517918291636</x:v>
      </x:c>
      <x:c r="AA12" s="94" t="n">
        <x:f>IF(A12&lt;='Giả định'!$B$9,E12-F12-G12-H12,"")</x:f>
        <x:v>0</x:v>
      </x:c>
      <x:c r="AB12" s="94" t="n">
        <x:f>IF(A12&lt;='Giả định'!$B$9,E12-H11,"")</x:f>
        <x:v>0</x:v>
      </x:c>
    </x:row>
    <x:row r="13">
      <x:c r="A13" s="43" t="n">
        <x:f>A12+1</x:f>
        <x:v>7</x:v>
      </x:c>
      <x:c r="B13" s="53" t="n">
        <x:f>IF(A13&lt;='Giả định'!$B$9,'Giả định'!$B$8+A13-1,"")</x:f>
        <x:v>36</x:v>
      </x:c>
      <x:c r="C13" s="54" t="n">
        <x:f>IF(A13&lt;='Giả định'!$B$9,IF(COUNTIFS('Giả định'!$A$31:$A$50,B13,'Giả định'!$B$31:$B$50,"&lt;&gt;")=1,INDEX('Giả định'!$B$31:$B$50,MATCH(B13,'Giả định'!$A$31:$A$50,0)),NA()),"")</x:f>
        <x:v>0.00089</x:v>
      </x:c>
      <x:c r="D13" s="54" t="n">
        <x:f>IF(A13&lt;='Giả định'!$B$9,C13*'Giả định'!$F$6,"")</x:f>
        <x:v>0.00089</x:v>
      </x:c>
      <x:c r="E13" s="20" t="n">
        <x:f>IF(A13&lt;='Giả định'!$B$9,H12,"")</x:f>
        <x:v>0.7325374520956913</x:v>
      </x:c>
      <x:c r="F13" s="20" t="n">
        <x:f>IF(A13&lt;='Giả định'!$B$9,E13*D13,"")</x:f>
        <x:v>0.0006519583323651652</x:v>
      </x:c>
      <x:c r="G13" s="20" t="n">
        <x:f>IF(A13&lt;='Giả định'!$B$9,(E13-F13)*'Giả định'!$F$7,"")</x:f>
        <x:v>0.036594274688166305</x:v>
      </x:c>
      <x:c r="H13" s="20" t="n">
        <x:f>IF(A13&lt;='Giả định'!$B$9,E13-F13-G13,"")</x:f>
        <x:v>0.6952912190751598</x:v>
      </x:c>
      <x:c r="I13" s="20" t="n">
        <x:f>IF(A13&lt;='Giả định'!$B$9,1/(1+'Giả định'!$F$9)^(A13-1),"")</x:f>
        <x:v>0.7462153966366274</x:v>
      </x:c>
      <x:c r="J13" s="20" t="n">
        <x:f>IF(A13&lt;='Giả định'!$B$9,1/(1+'Giả định'!$F$9)^A13,"")</x:f>
        <x:v>0.7106813301301214</x:v>
      </x:c>
      <x:c r="K13" s="20" t="n">
        <x:f>IF(A13&lt;='Giả định'!$B$9,E13*I13,"")</x:f>
        <x:v>0.5466307253667707</x:v>
      </x:c>
      <x:c r="L13" s="18" t="n">
        <x:f>IF(A13&lt;='Giả định'!$B$9,IF(A13=1,'Giả định'!$B$19,'Giả định'!$B$20),"")</x:f>
        <x:v>0.05</x:v>
      </x:c>
      <x:c r="M13" s="20" t="n">
        <x:f>IF(A13&lt;='Giả định'!$B$9,E13*L13*I13,"")</x:f>
        <x:v>0.02733153626833854</x:v>
      </x:c>
      <x:c r="N13" s="17" t="n">
        <x:f>IF(A13&lt;='Giả định'!$B$9,F13*'Giả định'!$B$10,"")</x:f>
        <x:v>65195.833236516526</x:v>
      </x:c>
      <x:c r="O13" s="17" t="n">
        <x:f>IF(A13&lt;='Giả định'!$B$9,IF(A13=1,E13*'Giả định'!$B$16*'Giả định'!$F$8,0),"")</x:f>
        <x:v>0</x:v>
      </x:c>
      <x:c r="P13" s="17" t="n">
        <x:f>IF(A13&lt;='Giả định'!$B$9,E13*'Giả định'!$B$17*(1+'Giả định'!$B$18)^(A13-1)*'Giả định'!$F$8,"")</x:f>
        <x:v>26240.64080905088</x:v>
      </x:c>
      <x:c r="Q13" s="17" t="n">
        <x:f>IF(A13&lt;='Giả định'!$B$9,N13*J13,"")</x:f>
        <x:v>46333.46148346914</x:v>
      </x:c>
      <x:c r="R13" s="17" t="n">
        <x:f>IF(A13&lt;='Giả định'!$B$9,O13*I13,"")</x:f>
        <x:v>0</x:v>
      </x:c>
      <x:c r="S13" s="17" t="n">
        <x:f>IF(A13&lt;='Giả định'!$B$9,P13*J13,"")</x:f>
        <x:v>18648.733513643023</x:v>
      </x:c>
      <x:c r="T13" s="57" t="n">
        <x:f>IF(A13&lt;='Giả định'!$B$9,'Tổng quan'!$B$7,"")</x:f>
        <x:v>168227.0000689228</x:v>
      </x:c>
      <x:c r="U13" s="17" t="n">
        <x:f>IF(A13&lt;='Giả định'!$B$9,E13*T13,"")</x:f>
        <x:v>123232.57800419039</x:v>
      </x:c>
      <x:c r="V13" s="17" t="n">
        <x:f>IF(A13&lt;='Giả định'!$B$9,U13*L13,"")</x:f>
        <x:v>6161.62890020952</x:v>
      </x:c>
      <x:c r="W13" s="17" t="n">
        <x:f>IF(A13&lt;='Giả định'!$B$9,U13-N13-O13-P13-V13,"")</x:f>
        <x:v>25634.475058413467</x:v>
      </x:c>
      <x:c r="X13" s="17" t="n">
        <x:f>IF(A13&lt;='Giả định'!$B$9,U13*I13,"")</x:f>
        <x:v>91958.04707395106</x:v>
      </x:c>
      <x:c r="Y13" s="17" t="n">
        <x:f>IF(A13&lt;='Giả định'!$B$9,V13*I13,"")</x:f>
        <x:v>4597.902353697553</x:v>
      </x:c>
      <x:c r="Z13" s="17" t="n">
        <x:f>IF(A13&lt;='Giả định'!$B$9,X13-Q13-R13-S13-Y13,"")</x:f>
        <x:v>22377.949723141348</x:v>
      </x:c>
      <x:c r="AA13" s="94" t="n">
        <x:f>IF(A13&lt;='Giả định'!$B$9,E13-F13-G13-H13,"")</x:f>
        <x:v>0</x:v>
      </x:c>
      <x:c r="AB13" s="94" t="n">
        <x:f>IF(A13&lt;='Giả định'!$B$9,E13-H12,"")</x:f>
        <x:v>0</x:v>
      </x:c>
    </x:row>
    <x:row r="14">
      <x:c r="A14" s="43" t="n">
        <x:f>A13+1</x:f>
        <x:v>8</x:v>
      </x:c>
      <x:c r="B14" s="53" t="n">
        <x:f>IF(A14&lt;='Giả định'!$B$9,'Giả định'!$B$8+A14-1,"")</x:f>
        <x:v>37</x:v>
      </x:c>
      <x:c r="C14" s="54" t="n">
        <x:f>IF(A14&lt;='Giả định'!$B$9,IF(COUNTIFS('Giả định'!$A$31:$A$50,B14,'Giả định'!$B$31:$B$50,"&lt;&gt;")=1,INDEX('Giả định'!$B$31:$B$50,MATCH(B14,'Giả định'!$A$31:$A$50,0)),NA()),"")</x:f>
        <x:v>0.00101</x:v>
      </x:c>
      <x:c r="D14" s="54" t="n">
        <x:f>IF(A14&lt;='Giả định'!$B$9,C14*'Giả định'!$F$6,"")</x:f>
        <x:v>0.00101</x:v>
      </x:c>
      <x:c r="E14" s="20" t="n">
        <x:f>IF(A14&lt;='Giả định'!$B$9,H13,"")</x:f>
        <x:v>0.6952912190751598</x:v>
      </x:c>
      <x:c r="F14" s="20" t="n">
        <x:f>IF(A14&lt;='Giả định'!$B$9,E14*D14,"")</x:f>
        <x:v>0.0007022441312659114</x:v>
      </x:c>
      <x:c r="G14" s="20" t="n">
        <x:f>IF(A14&lt;='Giả định'!$B$9,(E14-F14)*'Giả định'!$F$7,"")</x:f>
        <x:v>0.03472944874719469</x:v>
      </x:c>
      <x:c r="H14" s="20" t="n">
        <x:f>IF(A14&lt;='Giả định'!$B$9,E14-F14-G14,"")</x:f>
        <x:v>0.6598595261966991</x:v>
      </x:c>
      <x:c r="I14" s="20" t="n">
        <x:f>IF(A14&lt;='Giả định'!$B$9,1/(1+'Giả định'!$F$9)^(A14-1),"")</x:f>
        <x:v>0.7106813301301214</x:v>
      </x:c>
      <x:c r="J14" s="20" t="n">
        <x:f>IF(A14&lt;='Giả định'!$B$9,1/(1+'Giả định'!$F$9)^A14,"")</x:f>
        <x:v>0.676839362028687</x:v>
      </x:c>
      <x:c r="K14" s="20" t="n">
        <x:f>IF(A14&lt;='Giả định'!$B$9,E14*I14,"")</x:f>
        <x:v>0.4941304884001282</x:v>
      </x:c>
      <x:c r="L14" s="18" t="n">
        <x:f>IF(A14&lt;='Giả định'!$B$9,IF(A14=1,'Giả định'!$B$19,'Giả định'!$B$20),"")</x:f>
        <x:v>0.05</x:v>
      </x:c>
      <x:c r="M14" s="20" t="n">
        <x:f>IF(A14&lt;='Giả định'!$B$9,E14*L14*I14,"")</x:f>
        <x:v>0.02470652442000641</x:v>
      </x:c>
      <x:c r="N14" s="17" t="n">
        <x:f>IF(A14&lt;='Giả định'!$B$9,F14*'Giả định'!$B$10,"")</x:f>
        <x:v>70224.41312659114</x:v>
      </x:c>
      <x:c r="O14" s="17" t="n">
        <x:f>IF(A14&lt;='Giả định'!$B$9,IF(A14=1,E14*'Giả định'!$B$16*'Giả định'!$F$8,0),"")</x:f>
        <x:v>0</x:v>
      </x:c>
      <x:c r="P14" s="17" t="n">
        <x:f>IF(A14&lt;='Giả định'!$B$9,E14*'Giả định'!$B$17*(1+'Giả định'!$B$18)^(A14-1)*'Giả định'!$F$8,"")</x:f>
        <x:v>25653.614975998113</x:v>
      </x:c>
      <x:c r="Q14" s="17" t="n">
        <x:f>IF(A14&lt;='Giả định'!$B$9,N14*J14,"")</x:f>
        <x:v>47530.6469794409</x:v>
      </x:c>
      <x:c r="R14" s="17" t="n">
        <x:f>IF(A14&lt;='Giả định'!$B$9,O14*I14,"")</x:f>
        <x:v>0</x:v>
      </x:c>
      <x:c r="S14" s="17" t="n">
        <x:f>IF(A14&lt;='Giả định'!$B$9,P14*J14,"")</x:f>
        <x:v>17363.376394084135</x:v>
      </x:c>
      <x:c r="T14" s="57" t="n">
        <x:f>IF(A14&lt;='Giả định'!$B$9,'Tổng quan'!$B$7,"")</x:f>
        <x:v>168227.0000689228</x:v>
      </x:c>
      <x:c r="U14" s="17" t="n">
        <x:f>IF(A14&lt;='Giả định'!$B$9,E14*T14,"")</x:f>
        <x:v>116966.75595927832</x:v>
      </x:c>
      <x:c r="V14" s="17" t="n">
        <x:f>IF(A14&lt;='Giả định'!$B$9,U14*L14,"")</x:f>
        <x:v>5848.337797963916</x:v>
      </x:c>
      <x:c r="W14" s="17" t="n">
        <x:f>IF(A14&lt;='Giả định'!$B$9,U14-N14-O14-P14-V14,"")</x:f>
        <x:v>15240.390058725152</x:v>
      </x:c>
      <x:c r="X14" s="17" t="n">
        <x:f>IF(A14&lt;='Giả định'!$B$9,U14*I14,"")</x:f>
        <x:v>83126.08970614521</x:v>
      </x:c>
      <x:c r="Y14" s="17" t="n">
        <x:f>IF(A14&lt;='Giả định'!$B$9,V14*I14,"")</x:f>
        <x:v>4156.304485307261</x:v>
      </x:c>
      <x:c r="Z14" s="17" t="n">
        <x:f>IF(A14&lt;='Giả định'!$B$9,X14-Q14-R14-S14-Y14,"")</x:f>
        <x:v>14075.761847312919</x:v>
      </x:c>
      <x:c r="AA14" s="94" t="n">
        <x:f>IF(A14&lt;='Giả định'!$B$9,E14-F14-G14-H14,"")</x:f>
        <x:v>0</x:v>
      </x:c>
      <x:c r="AB14" s="94" t="n">
        <x:f>IF(A14&lt;='Giả định'!$B$9,E14-H13,"")</x:f>
        <x:v>0</x:v>
      </x:c>
    </x:row>
    <x:row r="15">
      <x:c r="A15" s="43" t="n">
        <x:f>A14+1</x:f>
        <x:v>9</x:v>
      </x:c>
      <x:c r="B15" s="53" t="n">
        <x:f>IF(A15&lt;='Giả định'!$B$9,'Giả định'!$B$8+A15-1,"")</x:f>
        <x:v>38</x:v>
      </x:c>
      <x:c r="C15" s="54" t="n">
        <x:f>IF(A15&lt;='Giả định'!$B$9,IF(COUNTIFS('Giả định'!$A$31:$A$50,B15,'Giả định'!$B$31:$B$50,"&lt;&gt;")=1,INDEX('Giả định'!$B$31:$B$50,MATCH(B15,'Giả định'!$A$31:$A$50,0)),NA()),"")</x:f>
        <x:v>0.00111</x:v>
      </x:c>
      <x:c r="D15" s="54" t="n">
        <x:f>IF(A15&lt;='Giả định'!$B$9,C15*'Giả định'!$F$6,"")</x:f>
        <x:v>0.00111</x:v>
      </x:c>
      <x:c r="E15" s="20" t="n">
        <x:f>IF(A15&lt;='Giả định'!$B$9,H14,"")</x:f>
        <x:v>0.6598595261966991</x:v>
      </x:c>
      <x:c r="F15" s="20" t="n">
        <x:f>IF(A15&lt;='Giả định'!$B$9,E15*D15,"")</x:f>
        <x:v>0.0007324440740783361</x:v>
      </x:c>
      <x:c r="G15" s="20" t="n">
        <x:f>IF(A15&lt;='Giả định'!$B$9,(E15-F15)*'Giả định'!$F$7,"")</x:f>
        <x:v>0.032956354106131035</x:v>
      </x:c>
      <x:c r="H15" s="20" t="n">
        <x:f>IF(A15&lt;='Giả định'!$B$9,E15-F15-G15,"")</x:f>
        <x:v>0.6261707280164897</x:v>
      </x:c>
      <x:c r="I15" s="20" t="n">
        <x:f>IF(A15&lt;='Giả định'!$B$9,1/(1+'Giả định'!$F$9)^(A15-1),"")</x:f>
        <x:v>0.676839362028687</x:v>
      </x:c>
      <x:c r="J15" s="20" t="n">
        <x:f>IF(A15&lt;='Giả định'!$B$9,1/(1+'Giả định'!$F$9)^A15,"")</x:f>
        <x:v>0.6446089162177971</x:v>
      </x:c>
      <x:c r="K15" s="20" t="n">
        <x:f>IF(A15&lt;='Giả định'!$B$9,E15*I15,"")</x:f>
        <x:v>0.4466189007395255</x:v>
      </x:c>
      <x:c r="L15" s="18" t="n">
        <x:f>IF(A15&lt;='Giả định'!$B$9,IF(A15=1,'Giả định'!$B$19,'Giả định'!$B$20),"")</x:f>
        <x:v>0.05</x:v>
      </x:c>
      <x:c r="M15" s="20" t="n">
        <x:f>IF(A15&lt;='Giả định'!$B$9,E15*L15*I15,"")</x:f>
        <x:v>0.022330945036976274</x:v>
      </x:c>
      <x:c r="N15" s="17" t="n">
        <x:f>IF(A15&lt;='Giả định'!$B$9,F15*'Giả định'!$B$10,"")</x:f>
        <x:v>73244.40740783361</x:v>
      </x:c>
      <x:c r="O15" s="17" t="n">
        <x:f>IF(A15&lt;='Giả định'!$B$9,IF(A15=1,E15*'Giả định'!$B$16*'Giả định'!$F$8,0),"")</x:f>
        <x:v>0</x:v>
      </x:c>
      <x:c r="P15" s="17" t="n">
        <x:f>IF(A15&lt;='Giả định'!$B$9,E15*'Giả định'!$B$17*(1+'Giả định'!$B$18)^(A15-1)*'Giả định'!$F$8,"")</x:f>
        <x:v>25076.70917113759</x:v>
      </x:c>
      <x:c r="Q15" s="17" t="n">
        <x:f>IF(A15&lt;='Giả định'!$B$9,N15*J15,"")</x:f>
        <x:v>47213.99807817842</x:v>
      </x:c>
      <x:c r="R15" s="17" t="n">
        <x:f>IF(A15&lt;='Giả định'!$B$9,O15*I15,"")</x:f>
        <x:v>0</x:v>
      </x:c>
      <x:c r="S15" s="17" t="n">
        <x:f>IF(A15&lt;='Giả định'!$B$9,P15*J15,"")</x:f>
        <x:v>16164.670321115897</x:v>
      </x:c>
      <x:c r="T15" s="57" t="n">
        <x:f>IF(A15&lt;='Giả định'!$B$9,'Tổng quan'!$B$7,"")</x:f>
        <x:v>168227.0000689228</x:v>
      </x:c>
      <x:c r="U15" s="17" t="n">
        <x:f>IF(A15&lt;='Giả định'!$B$9,E15*T15,"")</x:f>
        <x:v>111006.18855897145</x:v>
      </x:c>
      <x:c r="V15" s="17" t="n">
        <x:f>IF(A15&lt;='Giả định'!$B$9,U15*L15,"")</x:f>
        <x:v>5550.309427948573</x:v>
      </x:c>
      <x:c r="W15" s="17" t="n">
        <x:f>IF(A15&lt;='Giả định'!$B$9,U15-N15-O15-P15-V15,"")</x:f>
        <x:v>7134.762552051675</x:v>
      </x:c>
      <x:c r="X15" s="17" t="n">
        <x:f>IF(A15&lt;='Giả định'!$B$9,U15*I15,"")</x:f>
        <x:v>75133.35784549038</x:v>
      </x:c>
      <x:c r="Y15" s="17" t="n">
        <x:f>IF(A15&lt;='Giả định'!$B$9,V15*I15,"")</x:f>
        <x:v>3756.667892274519</x:v>
      </x:c>
      <x:c r="Z15" s="17" t="n">
        <x:f>IF(A15&lt;='Giả định'!$B$9,X15-Q15-R15-S15-Y15,"")</x:f>
        <x:v>7998.021553921542</x:v>
      </x:c>
      <x:c r="AA15" s="94" t="n">
        <x:f>IF(A15&lt;='Giả định'!$B$9,E15-F15-G15-H15,"")</x:f>
        <x:v>0</x:v>
      </x:c>
      <x:c r="AB15" s="94" t="n">
        <x:f>IF(A15&lt;='Giả định'!$B$9,E15-H14,"")</x:f>
        <x:v>0</x:v>
      </x:c>
    </x:row>
    <x:row r="16">
      <x:c r="A16" s="43" t="n">
        <x:f>A15+1</x:f>
        <x:v>10</x:v>
      </x:c>
      <x:c r="B16" s="53" t="n">
        <x:f>IF(A16&lt;='Giả định'!$B$9,'Giả định'!$B$8+A16-1,"")</x:f>
        <x:v>39</x:v>
      </x:c>
      <x:c r="C16" s="54" t="n">
        <x:f>IF(A16&lt;='Giả định'!$B$9,IF(COUNTIFS('Giả định'!$A$31:$A$50,B16,'Giả định'!$B$31:$B$50,"&lt;&gt;")=1,INDEX('Giả định'!$B$31:$B$50,MATCH(B16,'Giả định'!$A$31:$A$50,0)),NA()),"")</x:f>
        <x:v>0.00117</x:v>
      </x:c>
      <x:c r="D16" s="54" t="n">
        <x:f>IF(A16&lt;='Giả định'!$B$9,C16*'Giả định'!$F$6,"")</x:f>
        <x:v>0.00117</x:v>
      </x:c>
      <x:c r="E16" s="20" t="n">
        <x:f>IF(A16&lt;='Giả định'!$B$9,H15,"")</x:f>
        <x:v>0.6261707280164897</x:v>
      </x:c>
      <x:c r="F16" s="20" t="n">
        <x:f>IF(A16&lt;='Giả định'!$B$9,E16*D16,"")</x:f>
        <x:v>0.0007326197517792929</x:v>
      </x:c>
      <x:c r="G16" s="20" t="n">
        <x:f>IF(A16&lt;='Giả định'!$B$9,(E16-F16)*'Giả định'!$F$7,"")</x:f>
        <x:v>0.03127190541323552</x:v>
      </x:c>
      <x:c r="H16" s="20" t="n">
        <x:f>IF(A16&lt;='Giả định'!$B$9,E16-F16-G16,"")</x:f>
        <x:v>0.5941662028514748</x:v>
      </x:c>
      <x:c r="I16" s="20" t="n">
        <x:f>IF(A16&lt;='Giả định'!$B$9,1/(1+'Giả định'!$F$9)^(A16-1),"")</x:f>
        <x:v>0.6446089162177971</x:v>
      </x:c>
      <x:c r="J16" s="20" t="n">
        <x:f>IF(A16&lt;='Giả định'!$B$9,1/(1+'Giả định'!$F$9)^A16,"")</x:f>
        <x:v>0.6139132535407591</x:v>
      </x:c>
      <x:c r="K16" s="20" t="n">
        <x:f>IF(A16&lt;='Giả định'!$B$9,E16*I16,"")</x:f>
        <x:v>0.40363523435401844</x:v>
      </x:c>
      <x:c r="L16" s="18" t="n">
        <x:f>IF(A16&lt;='Giả định'!$B$9,IF(A16=1,'Giả định'!$B$19,'Giả định'!$B$20),"")</x:f>
        <x:v>0.05</x:v>
      </x:c>
      <x:c r="M16" s="20" t="n">
        <x:f>IF(A16&lt;='Giả định'!$B$9,E16*L16*I16,"")</x:f>
        <x:v>0.020181761717700922</x:v>
      </x:c>
      <x:c r="N16" s="17" t="n">
        <x:f>IF(A16&lt;='Giả định'!$B$9,F16*'Giả định'!$B$10,"")</x:f>
        <x:v>73261.97517792929</x:v>
      </x:c>
      <x:c r="O16" s="17" t="n">
        <x:f>IF(A16&lt;='Giả định'!$B$9,IF(A16=1,E16*'Giả định'!$B$16*'Giả định'!$F$8,0),"")</x:f>
        <x:v>0</x:v>
      </x:c>
      <x:c r="P16" s="17" t="n">
        <x:f>IF(A16&lt;='Giả định'!$B$9,E16*'Giả định'!$B$17*(1+'Giả định'!$B$18)^(A16-1)*'Giả định'!$F$8,"")</x:f>
        <x:v>24510.32323244254</x:v>
      </x:c>
      <x:c r="Q16" s="17" t="n">
        <x:f>IF(A16&lt;='Giả định'!$B$9,N16*J16,"")</x:f>
        <x:v>44976.4975423049</x:v>
      </x:c>
      <x:c r="R16" s="17" t="n">
        <x:f>IF(A16&lt;='Giả định'!$B$9,O16*I16,"")</x:f>
        <x:v>0</x:v>
      </x:c>
      <x:c r="S16" s="17" t="n">
        <x:f>IF(A16&lt;='Giả định'!$B$9,P16*J16,"")</x:f>
        <x:v>15047.212280964455</x:v>
      </x:c>
      <x:c r="T16" s="57" t="n">
        <x:f>IF(A16&lt;='Giả định'!$B$9,'Tổng quan'!$B$7,"")</x:f>
        <x:v>168227.0000689228</x:v>
      </x:c>
      <x:c r="U16" s="17" t="n">
        <x:f>IF(A16&lt;='Giả định'!$B$9,E16*T16,"")</x:f>
        <x:v>105338.82310518743</x:v>
      </x:c>
      <x:c r="V16" s="17" t="n">
        <x:f>IF(A16&lt;='Giả định'!$B$9,U16*L16,"")</x:f>
        <x:v>5266.941155259372</x:v>
      </x:c>
      <x:c r="W16" s="17" t="n">
        <x:f>IF(A16&lt;='Giả định'!$B$9,U16-N16-O16-P16-V16,"")</x:f>
        <x:v>2299.5835395562335</x:v>
      </x:c>
      <x:c r="X16" s="17" t="n">
        <x:f>IF(A16&lt;='Giả định'!$B$9,U16*I16,"")</x:f>
        <x:v>67902.34459749312</x:v>
      </x:c>
      <x:c r="Y16" s="17" t="n">
        <x:f>IF(A16&lt;='Giả định'!$B$9,V16*I16,"")</x:f>
        <x:v>3395.117229874656</x:v>
      </x:c>
      <x:c r="Z16" s="17" t="n">
        <x:f>IF(A16&lt;='Giả định'!$B$9,X16-Q16-R16-S16-Y16,"")</x:f>
        <x:v>4483.517544349109</x:v>
      </x:c>
      <x:c r="AA16" s="94" t="n">
        <x:f>IF(A16&lt;='Giả định'!$B$9,E16-F16-G16-H16,"")</x:f>
        <x:v>0</x:v>
      </x:c>
      <x:c r="AB16" s="94" t="n">
        <x:f>IF(A16&lt;='Giả định'!$B$9,E16-H15,"")</x:f>
        <x:v>0</x:v>
      </x:c>
    </x:row>
    <x:row r="17">
      <x:c r="A17" s="43" t="n">
        <x:f>A16+1</x:f>
        <x:v>11</x:v>
      </x:c>
      <x:c r="B17" s="53" t="n">
        <x:f>IF(A17&lt;='Giả định'!$B$9,'Giả định'!$B$8+A17-1,"")</x:f>
        <x:v>40</x:v>
      </x:c>
      <x:c r="C17" s="54" t="n">
        <x:f>IF(A17&lt;='Giả định'!$B$9,IF(COUNTIFS('Giả định'!$A$31:$A$50,B17,'Giả định'!$B$31:$B$50,"&lt;&gt;")=1,INDEX('Giả định'!$B$31:$B$50,MATCH(B17,'Giả định'!$A$31:$A$50,0)),NA()),"")</x:f>
        <x:v>0.00124</x:v>
      </x:c>
      <x:c r="D17" s="54" t="n">
        <x:f>IF(A17&lt;='Giả định'!$B$9,C17*'Giả định'!$F$6,"")</x:f>
        <x:v>0.00124</x:v>
      </x:c>
      <x:c r="E17" s="20" t="n">
        <x:f>IF(A17&lt;='Giả định'!$B$9,H16,"")</x:f>
        <x:v>0.5941662028514748</x:v>
      </x:c>
      <x:c r="F17" s="20" t="n">
        <x:f>IF(A17&lt;='Giả định'!$B$9,E17*D17,"")</x:f>
        <x:v>0.0007367660915358287</x:v>
      </x:c>
      <x:c r="G17" s="20" t="n">
        <x:f>IF(A17&lt;='Giả định'!$B$9,(E17-F17)*'Giả định'!$F$7,"")</x:f>
        <x:v>0.02967147183799695</x:v>
      </x:c>
      <x:c r="H17" s="20" t="n">
        <x:f>IF(A17&lt;='Giả định'!$B$9,E17-F17-G17,"")</x:f>
        <x:v>0.5637579649219421</x:v>
      </x:c>
      <x:c r="I17" s="20" t="n">
        <x:f>IF(A17&lt;='Giả định'!$B$9,1/(1+'Giả định'!$F$9)^(A17-1),"")</x:f>
        <x:v>0.6139132535407591</x:v>
      </x:c>
      <x:c r="J17" s="20" t="n">
        <x:f>IF(A17&lt;='Giả định'!$B$9,1/(1+'Giả định'!$F$9)^A17,"")</x:f>
        <x:v>0.5846792890864373</x:v>
      </x:c>
      <x:c r="K17" s="20" t="n">
        <x:f>IF(A17&lt;='Giả định'!$B$9,E17*I17,"")</x:f>
        <x:v>0.36476650673650757</x:v>
      </x:c>
      <x:c r="L17" s="18" t="n">
        <x:f>IF(A17&lt;='Giả định'!$B$9,IF(A17=1,'Giả định'!$B$19,'Giả định'!$B$20),"")</x:f>
        <x:v>0.05</x:v>
      </x:c>
      <x:c r="M17" s="20" t="n">
        <x:f>IF(A17&lt;='Giả định'!$B$9,E17*L17*I17,"")</x:f>
        <x:v>0.01823832533682538</x:v>
      </x:c>
      <x:c r="N17" s="17" t="n">
        <x:f>IF(A17&lt;='Giả định'!$B$9,F17*'Giả định'!$B$10,"")</x:f>
        <x:v>73676.60915358287</x:v>
      </x:c>
      <x:c r="O17" s="17" t="n">
        <x:f>IF(A17&lt;='Giả định'!$B$9,IF(A17=1,E17*'Giả định'!$B$16*'Giả định'!$F$8,0),"")</x:f>
        <x:v>0</x:v>
      </x:c>
      <x:c r="P17" s="17" t="n">
        <x:f>IF(A17&lt;='Giả định'!$B$9,E17*'Giả định'!$B$17*(1+'Giả định'!$B$18)^(A17-1)*'Giả định'!$F$8,"")</x:f>
        <x:v>23955.29076194398</x:v>
      </x:c>
      <x:c r="Q17" s="17" t="n">
        <x:f>IF(A17&lt;='Giả định'!$B$9,N17*J17,"")</x:f>
        <x:v>43077.187462216134</x:v>
      </x:c>
      <x:c r="R17" s="17" t="n">
        <x:f>IF(A17&lt;='Giả định'!$B$9,O17*I17,"")</x:f>
        <x:v>0</x:v>
      </x:c>
      <x:c r="S17" s="17" t="n">
        <x:f>IF(A17&lt;='Giả định'!$B$9,P17*J17,"")</x:f>
        <x:v>14006.162372552304</x:v>
      </x:c>
      <x:c r="T17" s="57" t="n">
        <x:f>IF(A17&lt;='Giả định'!$B$9,'Tổng quan'!$B$7,"")</x:f>
        <x:v>168227.0000689228</x:v>
      </x:c>
      <x:c r="U17" s="17" t="n">
        <x:f>IF(A17&lt;='Giả định'!$B$9,E17*T17,"")</x:f>
        <x:v>99954.79784804664</x:v>
      </x:c>
      <x:c r="V17" s="17" t="n">
        <x:f>IF(A17&lt;='Giả định'!$B$9,U17*L17,"")</x:f>
        <x:v>4997.739892402333</x:v>
      </x:c>
      <x:c r="W17" s="17" t="n">
        <x:f>IF(A17&lt;='Giả định'!$B$9,U17-N17-O17-P17-V17,"")</x:f>
        <x:v>-2674.841959882546</x:v>
      </x:c>
      <x:c r="X17" s="17" t="n">
        <x:f>IF(A17&lt;='Giả định'!$B$9,U17*I17,"")</x:f>
        <x:v>61363.57515390318</x:v>
      </x:c>
      <x:c r="Y17" s="17" t="n">
        <x:f>IF(A17&lt;='Giả định'!$B$9,V17*I17,"")</x:f>
        <x:v>3068.178757695159</x:v>
      </x:c>
      <x:c r="Z17" s="17" t="n">
        <x:f>IF(A17&lt;='Giả định'!$B$9,X17-Q17-R17-S17-Y17,"")</x:f>
        <x:v>1212.0465614395798</x:v>
      </x:c>
      <x:c r="AA17" s="94" t="n">
        <x:f>IF(A17&lt;='Giả định'!$B$9,E17-F17-G17-H17,"")</x:f>
        <x:v>0</x:v>
      </x:c>
      <x:c r="AB17" s="94" t="n">
        <x:f>IF(A17&lt;='Giả định'!$B$9,E17-H16,"")</x:f>
        <x:v>0</x:v>
      </x:c>
    </x:row>
    <x:row r="18">
      <x:c r="A18" s="43" t="n">
        <x:f>A17+1</x:f>
        <x:v>12</x:v>
      </x:c>
      <x:c r="B18" s="53" t="n">
        <x:f>IF(A18&lt;='Giả định'!$B$9,'Giả định'!$B$8+A18-1,"")</x:f>
        <x:v>41</x:v>
      </x:c>
      <x:c r="C18" s="54" t="n">
        <x:f>IF(A18&lt;='Giả định'!$B$9,IF(COUNTIFS('Giả định'!$A$31:$A$50,B18,'Giả định'!$B$31:$B$50,"&lt;&gt;")=1,INDEX('Giả định'!$B$31:$B$50,MATCH(B18,'Giả định'!$A$31:$A$50,0)),NA()),"")</x:f>
        <x:v>0.00131</x:v>
      </x:c>
      <x:c r="D18" s="54" t="n">
        <x:f>IF(A18&lt;='Giả định'!$B$9,C18*'Giả định'!$F$6,"")</x:f>
        <x:v>0.00131</x:v>
      </x:c>
      <x:c r="E18" s="20" t="n">
        <x:f>IF(A18&lt;='Giả định'!$B$9,H17,"")</x:f>
        <x:v>0.5637579649219421</x:v>
      </x:c>
      <x:c r="F18" s="20" t="n">
        <x:f>IF(A18&lt;='Giả định'!$B$9,E18*D18,"")</x:f>
        <x:v>0.0007385229340477441</x:v>
      </x:c>
      <x:c r="G18" s="20" t="n">
        <x:f>IF(A18&lt;='Giả định'!$B$9,(E18-F18)*'Giả định'!$F$7,"")</x:f>
        <x:v>0.028150972099394718</x:v>
      </x:c>
      <x:c r="H18" s="20" t="n">
        <x:f>IF(A18&lt;='Giả định'!$B$9,E18-F18-G18,"")</x:f>
        <x:v>0.5348684698884996</x:v>
      </x:c>
      <x:c r="I18" s="20" t="n">
        <x:f>IF(A18&lt;='Giả định'!$B$9,1/(1+'Giả định'!$F$9)^(A18-1),"")</x:f>
        <x:v>0.5846792890864373</x:v>
      </x:c>
      <x:c r="J18" s="20" t="n">
        <x:f>IF(A18&lt;='Giả định'!$B$9,1/(1+'Giả định'!$F$9)^A18,"")</x:f>
        <x:v>0.5568374181775593</x:v>
      </x:c>
      <x:c r="K18" s="20" t="n">
        <x:f>IF(A18&lt;='Giả định'!$B$9,E18*I18,"")</x:f>
        <x:v>0.32961760614737773</x:v>
      </x:c>
      <x:c r="L18" s="18" t="n">
        <x:f>IF(A18&lt;='Giả định'!$B$9,IF(A18=1,'Giả định'!$B$19,'Giả định'!$B$20),"")</x:f>
        <x:v>0.05</x:v>
      </x:c>
      <x:c r="M18" s="20" t="n">
        <x:f>IF(A18&lt;='Giả định'!$B$9,E18*L18*I18,"")</x:f>
        <x:v>0.016480880307368887</x:v>
      </x:c>
      <x:c r="N18" s="17" t="n">
        <x:f>IF(A18&lt;='Giả định'!$B$9,F18*'Giả định'!$B$10,"")</x:f>
        <x:v>73852.2934047744</x:v>
      </x:c>
      <x:c r="O18" s="17" t="n">
        <x:f>IF(A18&lt;='Giả định'!$B$9,IF(A18=1,E18*'Giả định'!$B$16*'Giả định'!$F$8,0),"")</x:f>
        <x:v>0</x:v>
      </x:c>
      <x:c r="P18" s="17" t="n">
        <x:f>IF(A18&lt;='Giả định'!$B$9,E18*'Giả định'!$B$17*(1+'Giả định'!$B$18)^(A18-1)*'Giả định'!$F$8,"")</x:f>
        <x:v>23411.186098069087</x:v>
      </x:c>
      <x:c r="Q18" s="17" t="n">
        <x:f>IF(A18&lt;='Giả định'!$B$9,N18*J18,"")</x:f>
        <x:v>41123.72038600617</x:v>
      </x:c>
      <x:c r="R18" s="17" t="n">
        <x:f>IF(A18&lt;='Giả định'!$B$9,O18*I18,"")</x:f>
        <x:v>0</x:v>
      </x:c>
      <x:c r="S18" s="17" t="n">
        <x:f>IF(A18&lt;='Giả định'!$B$9,P18*J18,"")</x:f>
        <x:v>13036.224423323158</x:v>
      </x:c>
      <x:c r="T18" s="57" t="n">
        <x:f>IF(A18&lt;='Giả định'!$B$9,'Tổng quan'!$B$7,"")</x:f>
        <x:v>168227.0000689228</x:v>
      </x:c>
      <x:c r="U18" s="17" t="n">
        <x:f>IF(A18&lt;='Giả định'!$B$9,E18*T18,"")</x:f>
        <x:v>94839.31120377932</x:v>
      </x:c>
      <x:c r="V18" s="17" t="n">
        <x:f>IF(A18&lt;='Giả định'!$B$9,U18*L18,"")</x:f>
        <x:v>4741.965560188966</x:v>
      </x:c>
      <x:c r="W18" s="17" t="n">
        <x:f>IF(A18&lt;='Giả định'!$B$9,U18-N18-O18-P18-V18,"")</x:f>
        <x:v>-7166.133859253141</x:v>
      </x:c>
      <x:c r="X18" s="17" t="n">
        <x:f>IF(A18&lt;='Giả định'!$B$9,U18*I18,"")</x:f>
        <x:v>55450.58105207308</x:v>
      </x:c>
      <x:c r="Y18" s="17" t="n">
        <x:f>IF(A18&lt;='Giả định'!$B$9,V18*I18,"")</x:f>
        <x:v>2772.5290526036542</x:v>
      </x:c>
      <x:c r="Z18" s="17" t="n">
        <x:f>IF(A18&lt;='Giả định'!$B$9,X18-Q18-R18-S18-Y18,"")</x:f>
        <x:v>-1481.8928098599017</x:v>
      </x:c>
      <x:c r="AA18" s="94" t="n">
        <x:f>IF(A18&lt;='Giả định'!$B$9,E18-F18-G18-H18,"")</x:f>
        <x:v>0</x:v>
      </x:c>
      <x:c r="AB18" s="94" t="n">
        <x:f>IF(A18&lt;='Giả định'!$B$9,E18-H17,"")</x:f>
        <x:v>0</x:v>
      </x:c>
    </x:row>
    <x:row r="19">
      <x:c r="A19" s="43" t="n">
        <x:f>A18+1</x:f>
        <x:v>13</x:v>
      </x:c>
      <x:c r="B19" s="53" t="n">
        <x:f>IF(A19&lt;='Giả định'!$B$9,'Giả định'!$B$8+A19-1,"")</x:f>
        <x:v>42</x:v>
      </x:c>
      <x:c r="C19" s="54" t="n">
        <x:f>IF(A19&lt;='Giả định'!$B$9,IF(COUNTIFS('Giả định'!$A$31:$A$50,B19,'Giả định'!$B$31:$B$50,"&lt;&gt;")=1,INDEX('Giả định'!$B$31:$B$50,MATCH(B19,'Giả định'!$A$31:$A$50,0)),NA()),"")</x:f>
        <x:v>0.0014</x:v>
      </x:c>
      <x:c r="D19" s="54" t="n">
        <x:f>IF(A19&lt;='Giả định'!$B$9,C19*'Giả định'!$F$6,"")</x:f>
        <x:v>0.0014</x:v>
      </x:c>
      <x:c r="E19" s="20" t="n">
        <x:f>IF(A19&lt;='Giả định'!$B$9,H18,"")</x:f>
        <x:v>0.5348684698884996</x:v>
      </x:c>
      <x:c r="F19" s="20" t="n">
        <x:f>IF(A19&lt;='Giả định'!$B$9,E19*D19,"")</x:f>
        <x:v>0.0007488158578438994</x:v>
      </x:c>
      <x:c r="G19" s="20" t="n">
        <x:f>IF(A19&lt;='Giả định'!$B$9,(E19-F19)*'Giả định'!$F$7,"")</x:f>
        <x:v>0.026705982701532783</x:v>
      </x:c>
      <x:c r="H19" s="20" t="n">
        <x:f>IF(A19&lt;='Giả định'!$B$9,E19-F19-G19,"")</x:f>
        <x:v>0.5074136713291229</x:v>
      </x:c>
      <x:c r="I19" s="20" t="n">
        <x:f>IF(A19&lt;='Giả định'!$B$9,1/(1+'Giả định'!$F$9)^(A19-1),"")</x:f>
        <x:v>0.5568374181775593</x:v>
      </x:c>
      <x:c r="J19" s="20" t="n">
        <x:f>IF(A19&lt;='Giả định'!$B$9,1/(1+'Giả định'!$F$9)^A19,"")</x:f>
        <x:v>0.5303213506452945</x:v>
      </x:c>
      <x:c r="K19" s="20" t="n">
        <x:f>IF(A19&lt;='Giả định'!$B$9,E19*I19,"")</x:f>
        <x:v>0.29783477783729373</x:v>
      </x:c>
      <x:c r="L19" s="18" t="n">
        <x:f>IF(A19&lt;='Giả định'!$B$9,IF(A19=1,'Giả định'!$B$19,'Giả định'!$B$20),"")</x:f>
        <x:v>0.05</x:v>
      </x:c>
      <x:c r="M19" s="20" t="n">
        <x:f>IF(A19&lt;='Giả định'!$B$9,E19*L19*I19,"")</x:f>
        <x:v>0.014891738891864686</x:v>
      </x:c>
      <x:c r="N19" s="17" t="n">
        <x:f>IF(A19&lt;='Giả định'!$B$9,F19*'Giả định'!$B$10,"")</x:f>
        <x:v>74881.58578438994</x:v>
      </x:c>
      <x:c r="O19" s="17" t="n">
        <x:f>IF(A19&lt;='Giả định'!$B$9,IF(A19=1,E19*'Giả định'!$B$16*'Giả định'!$F$8,0),"")</x:f>
        <x:v>0</x:v>
      </x:c>
      <x:c r="P19" s="17" t="n">
        <x:f>IF(A19&lt;='Giả định'!$B$9,E19*'Giả định'!$B$17*(1+'Giả định'!$B$18)^(A19-1)*'Giả định'!$F$8,"")</x:f>
        <x:v>22877.836319228583</x:v>
      </x:c>
      <x:c r="Q19" s="17" t="n">
        <x:f>IF(A19&lt;='Giả định'!$B$9,N19*J19,"")</x:f>
        <x:v>39711.30371163916</x:v>
      </x:c>
      <x:c r="R19" s="17" t="n">
        <x:f>IF(A19&lt;='Giả định'!$B$9,O19*I19,"")</x:f>
        <x:v>0</x:v>
      </x:c>
      <x:c r="S19" s="17" t="n">
        <x:f>IF(A19&lt;='Giả định'!$B$9,P19*J19,"")</x:f>
        <x:v>12132.605056655275</x:v>
      </x:c>
      <x:c r="T19" s="57" t="n">
        <x:f>IF(A19&lt;='Giả định'!$B$9,'Tổng quan'!$B$7,"")</x:f>
        <x:v>168227.0000689228</x:v>
      </x:c>
      <x:c r="U19" s="17" t="n">
        <x:f>IF(A19&lt;='Giả định'!$B$9,E19*T19,"")</x:f>
        <x:v>89979.31812079724</x:v>
      </x:c>
      <x:c r="V19" s="17" t="n">
        <x:f>IF(A19&lt;='Giả định'!$B$9,U19*L19,"")</x:f>
        <x:v>4498.965906039862</x:v>
      </x:c>
      <x:c r="W19" s="17" t="n">
        <x:f>IF(A19&lt;='Giả định'!$B$9,U19-N19-O19-P19-V19,"")</x:f>
        <x:v>-12279.069888861151</x:v>
      </x:c>
      <x:c r="X19" s="17" t="n">
        <x:f>IF(A19&lt;='Giả định'!$B$9,U19*I19,"")</x:f>
        <x:v>50103.851191762005</x:v>
      </x:c>
      <x:c r="Y19" s="17" t="n">
        <x:f>IF(A19&lt;='Giả định'!$B$9,V19*I19,"")</x:f>
        <x:v>2505.1925595881003</x:v>
      </x:c>
      <x:c r="Z19" s="17" t="n">
        <x:f>IF(A19&lt;='Giả định'!$B$9,X19-Q19-R19-S19-Y19,"")</x:f>
        <x:v>-4245.250136120527</x:v>
      </x:c>
      <x:c r="AA19" s="94" t="n">
        <x:f>IF(A19&lt;='Giả định'!$B$9,E19-F19-G19-H19,"")</x:f>
        <x:v>0</x:v>
      </x:c>
      <x:c r="AB19" s="94" t="n">
        <x:f>IF(A19&lt;='Giả định'!$B$9,E19-H18,"")</x:f>
        <x:v>0</x:v>
      </x:c>
    </x:row>
    <x:row r="20">
      <x:c r="A20" s="43" t="n">
        <x:f>A19+1</x:f>
        <x:v>14</x:v>
      </x:c>
      <x:c r="B20" s="53" t="n">
        <x:f>IF(A20&lt;='Giả định'!$B$9,'Giả định'!$B$8+A20-1,"")</x:f>
        <x:v>43</x:v>
      </x:c>
      <x:c r="C20" s="54" t="n">
        <x:f>IF(A20&lt;='Giả định'!$B$9,IF(COUNTIFS('Giả định'!$A$31:$A$50,B20,'Giả định'!$B$31:$B$50,"&lt;&gt;")=1,INDEX('Giả định'!$B$31:$B$50,MATCH(B20,'Giả định'!$A$31:$A$50,0)),NA()),"")</x:f>
        <x:v>0.00148</x:v>
      </x:c>
      <x:c r="D20" s="54" t="n">
        <x:f>IF(A20&lt;='Giả định'!$B$9,C20*'Giả định'!$F$6,"")</x:f>
        <x:v>0.00148</x:v>
      </x:c>
      <x:c r="E20" s="20" t="n">
        <x:f>IF(A20&lt;='Giả định'!$B$9,H19,"")</x:f>
        <x:v>0.5074136713291229</x:v>
      </x:c>
      <x:c r="F20" s="20" t="n">
        <x:f>IF(A20&lt;='Giả định'!$B$9,E20*D20,"")</x:f>
        <x:v>0.0007509722335671018</x:v>
      </x:c>
      <x:c r="G20" s="20" t="n">
        <x:f>IF(A20&lt;='Giả định'!$B$9,(E20-F20)*'Giả định'!$F$7,"")</x:f>
        <x:v>0.02533313495477779</x:v>
      </x:c>
      <x:c r="H20" s="20" t="n">
        <x:f>IF(A20&lt;='Giả định'!$B$9,E20-F20-G20,"")</x:f>
        <x:v>0.48132956414077793</x:v>
      </x:c>
      <x:c r="I20" s="20" t="n">
        <x:f>IF(A20&lt;='Giả định'!$B$9,1/(1+'Giả định'!$F$9)^(A20-1),"")</x:f>
        <x:v>0.5303213506452945</x:v>
      </x:c>
      <x:c r="J20" s="20" t="n">
        <x:f>IF(A20&lt;='Giả định'!$B$9,1/(1+'Giả định'!$F$9)^A20,"")</x:f>
        <x:v>0.5050679529955185</x:v>
      </x:c>
      <x:c r="K20" s="20" t="n">
        <x:f>IF(A20&lt;='Giả định'!$B$9,E20*I20,"")</x:f>
        <x:v>0.26909230351514796</x:v>
      </x:c>
      <x:c r="L20" s="18" t="n">
        <x:f>IF(A20&lt;='Giả định'!$B$9,IF(A20=1,'Giả định'!$B$19,'Giả định'!$B$20),"")</x:f>
        <x:v>0.05</x:v>
      </x:c>
      <x:c r="M20" s="20" t="n">
        <x:f>IF(A20&lt;='Giả định'!$B$9,E20*L20*I20,"")</x:f>
        <x:v>0.0134546151757574</x:v>
      </x:c>
      <x:c r="N20" s="17" t="n">
        <x:f>IF(A20&lt;='Giả định'!$B$9,F20*'Giả định'!$B$10,"")</x:f>
        <x:v>75097.22335671018</x:v>
      </x:c>
      <x:c r="O20" s="17" t="n">
        <x:f>IF(A20&lt;='Giả định'!$B$9,IF(A20=1,E20*'Giả định'!$B$16*'Giả định'!$F$8,0),"")</x:f>
        <x:v>0</x:v>
      </x:c>
      <x:c r="P20" s="17" t="n">
        <x:f>IF(A20&lt;='Giả định'!$B$9,E20*'Giả định'!$B$17*(1+'Giả định'!$B$18)^(A20-1)*'Giả định'!$F$8,"")</x:f>
        <x:v>22354.62249039146</x:v>
      </x:c>
      <x:c r="Q20" s="17" t="n">
        <x:f>IF(A20&lt;='Giả định'!$B$9,N20*J20,"")</x:f>
        <x:v>37929.20087642085</x:v>
      </x:c>
      <x:c r="R20" s="17" t="n">
        <x:f>IF(A20&lt;='Giả định'!$B$9,O20*I20,"")</x:f>
        <x:v>0</x:v>
      </x:c>
      <x:c r="S20" s="17" t="n">
        <x:f>IF(A20&lt;='Giả định'!$B$9,P20*J20,"")</x:f>
        <x:v>11290.603421209595</x:v>
      </x:c>
      <x:c r="T20" s="57" t="n">
        <x:f>IF(A20&lt;='Giả định'!$B$9,'Tổng quan'!$B$7,"")</x:f>
        <x:v>168227.0000689228</x:v>
      </x:c>
      <x:c r="U20" s="17" t="n">
        <x:f>IF(A20&lt;='Giả định'!$B$9,E20*T20,"")</x:f>
        <x:v>85360.67972165672</x:v>
      </x:c>
      <x:c r="V20" s="17" t="n">
        <x:f>IF(A20&lt;='Giả định'!$B$9,U20*L20,"")</x:f>
        <x:v>4268.033986082836</x:v>
      </x:c>
      <x:c r="W20" s="17" t="n">
        <x:f>IF(A20&lt;='Giả định'!$B$9,U20-N20-O20-P20-V20,"")</x:f>
        <x:v>-16359.200111527753</x:v>
      </x:c>
      <x:c r="X20" s="17" t="n">
        <x:f>IF(A20&lt;='Giả định'!$B$9,U20*I20,"")</x:f>
        <x:v>45268.590961989394</x:v>
      </x:c>
      <x:c r="Y20" s="17" t="n">
        <x:f>IF(A20&lt;='Giả định'!$B$9,V20*I20,"")</x:f>
        <x:v>2263.4295480994697</x:v>
      </x:c>
      <x:c r="Z20" s="17" t="n">
        <x:f>IF(A20&lt;='Giả định'!$B$9,X20-Q20-R20-S20-Y20,"")</x:f>
        <x:v>-6214.642883740522</x:v>
      </x:c>
      <x:c r="AA20" s="94" t="n">
        <x:f>IF(A20&lt;='Giả định'!$B$9,E20-F20-G20-H20,"")</x:f>
        <x:v>0</x:v>
      </x:c>
      <x:c r="AB20" s="94" t="n">
        <x:f>IF(A20&lt;='Giả định'!$B$9,E20-H19,"")</x:f>
        <x:v>0</x:v>
      </x:c>
    </x:row>
    <x:row r="21">
      <x:c r="A21" s="43" t="n">
        <x:f>A20+1</x:f>
        <x:v>15</x:v>
      </x:c>
      <x:c r="B21" s="53" t="n">
        <x:f>IF(A21&lt;='Giả định'!$B$9,'Giả định'!$B$8+A21-1,"")</x:f>
        <x:v>44</x:v>
      </x:c>
      <x:c r="C21" s="54" t="n">
        <x:f>IF(A21&lt;='Giả định'!$B$9,IF(COUNTIFS('Giả định'!$A$31:$A$50,B21,'Giả định'!$B$31:$B$50,"&lt;&gt;")=1,INDEX('Giả định'!$B$31:$B$50,MATCH(B21,'Giả định'!$A$31:$A$50,0)),NA()),"")</x:f>
        <x:v>0.00154</x:v>
      </x:c>
      <x:c r="D21" s="54" t="n">
        <x:f>IF(A21&lt;='Giả định'!$B$9,C21*'Giả định'!$F$6,"")</x:f>
        <x:v>0.00154</x:v>
      </x:c>
      <x:c r="E21" s="20" t="n">
        <x:f>IF(A21&lt;='Giả định'!$B$9,H20,"")</x:f>
        <x:v>0.48132956414077793</x:v>
      </x:c>
      <x:c r="F21" s="20" t="n">
        <x:f>IF(A21&lt;='Giả định'!$B$9,E21*D21,"")</x:f>
        <x:v>0.000741247528776798</x:v>
      </x:c>
      <x:c r="G21" s="20" t="n">
        <x:f>IF(A21&lt;='Giả định'!$B$9,(E21-F21)*'Giả định'!$F$7,"")</x:f>
        <x:v>0.02402941583060006</x:v>
      </x:c>
      <x:c r="H21" s="20" t="n">
        <x:f>IF(A21&lt;='Giả định'!$B$9,E21-F21-G21,"")</x:f>
        <x:v>0.45655890078140104</x:v>
      </x:c>
      <x:c r="I21" s="20" t="n">
        <x:f>IF(A21&lt;='Giả định'!$B$9,1/(1+'Giả định'!$F$9)^(A21-1),"")</x:f>
        <x:v>0.5050679529955185</x:v>
      </x:c>
      <x:c r="J21" s="20" t="n">
        <x:f>IF(A21&lt;='Giả định'!$B$9,1/(1+'Giả định'!$F$9)^A21,"")</x:f>
        <x:v>0.48101709809097</x:v>
      </x:c>
      <x:c r="K21" s="20" t="n">
        <x:f>IF(A21&lt;='Giả định'!$B$9,E21*I21,"")</x:f>
        <x:v>0.24310413767680786</x:v>
      </x:c>
      <x:c r="L21" s="18" t="n">
        <x:f>IF(A21&lt;='Giả định'!$B$9,IF(A21=1,'Giả định'!$B$19,'Giả định'!$B$20),"")</x:f>
        <x:v>0.05</x:v>
      </x:c>
      <x:c r="M21" s="20" t="n">
        <x:f>IF(A21&lt;='Giả định'!$B$9,E21*L21*I21,"")</x:f>
        <x:v>0.012155206883840393</x:v>
      </x:c>
      <x:c r="N21" s="17" t="n">
        <x:f>IF(A21&lt;='Giả định'!$B$9,F21*'Giả định'!$B$10,"")</x:f>
        <x:v>74124.7528776798</x:v>
      </x:c>
      <x:c r="O21" s="17" t="n">
        <x:f>IF(A21&lt;='Giả định'!$B$9,IF(A21=1,E21*'Giả định'!$B$16*'Giả định'!$F$8,0),"")</x:f>
        <x:v>0</x:v>
      </x:c>
      <x:c r="P21" s="17" t="n">
        <x:f>IF(A21&lt;='Giả định'!$B$9,E21*'Giả định'!$B$17*(1+'Giả định'!$B$18)^(A21-1)*'Giả định'!$F$8,"")</x:f>
        <x:v>21841.624589649906</x:v>
      </x:c>
      <x:c r="Q21" s="17" t="n">
        <x:f>IF(A21&lt;='Giả định'!$B$9,N21*J21,"")</x:f>
        <x:v>35655.273525931814</x:v>
      </x:c>
      <x:c r="R21" s="17" t="n">
        <x:f>IF(A21&lt;='Giả định'!$B$9,O21*I21,"")</x:f>
        <x:v>0</x:v>
      </x:c>
      <x:c r="S21" s="17" t="n">
        <x:f>IF(A21&lt;='Giả định'!$B$9,P21*J21,"")</x:f>
        <x:v>10506.194877705771</x:v>
      </x:c>
      <x:c r="T21" s="57" t="n">
        <x:f>IF(A21&lt;='Giả định'!$B$9,'Tổng quan'!$B$7,"")</x:f>
        <x:v>168227.0000689228</x:v>
      </x:c>
      <x:c r="U21" s="17" t="n">
        <x:f>IF(A21&lt;='Giả định'!$B$9,E21*T21,"")</x:f>
        <x:v>80972.62861988523</x:v>
      </x:c>
      <x:c r="V21" s="17" t="n">
        <x:f>IF(A21&lt;='Giả định'!$B$9,U21*L21,"")</x:f>
        <x:v>4048.631430994262</x:v>
      </x:c>
      <x:c r="W21" s="17" t="n">
        <x:f>IF(A21&lt;='Giả định'!$B$9,U21-N21-O21-P21-V21,"")</x:f>
        <x:v>-19042.380278438734</x:v>
      </x:c>
      <x:c r="X21" s="17" t="n">
        <x:f>IF(A21&lt;='Giả định'!$B$9,U21*I21,"")</x:f>
        <x:v>40896.67978571177</x:v>
      </x:c>
      <x:c r="Y21" s="17" t="n">
        <x:f>IF(A21&lt;='Giả định'!$B$9,V21*I21,"")</x:f>
        <x:v>2044.8339892855888</x:v>
      </x:c>
      <x:c r="Z21" s="17" t="n">
        <x:f>IF(A21&lt;='Giả định'!$B$9,X21-Q21-R21-S21-Y21,"")</x:f>
        <x:v>-7309.622607211404</x:v>
      </x:c>
      <x:c r="AA21" s="94" t="n">
        <x:f>IF(A21&lt;='Giả định'!$B$9,E21-F21-G21-H21,"")</x:f>
        <x:v>0</x:v>
      </x:c>
      <x:c r="AB21" s="94" t="n">
        <x:f>IF(A21&lt;='Giả định'!$B$9,E21-H20,"")</x:f>
        <x:v>0</x:v>
      </x:c>
    </x:row>
    <x:row r="22">
      <x:c r="A22" s="43" t="n">
        <x:f>A21+1</x:f>
        <x:v>16</x:v>
      </x:c>
      <x:c r="B22" s="53" t="n">
        <x:f>IF(A22&lt;='Giả định'!$B$9,'Giả định'!$B$8+A22-1,"")</x:f>
        <x:v>45</x:v>
      </x:c>
      <x:c r="C22" s="54" t="n">
        <x:f>IF(A22&lt;='Giả định'!$B$9,IF(COUNTIFS('Giả định'!$A$31:$A$50,B22,'Giả định'!$B$31:$B$50,"&lt;&gt;")=1,INDEX('Giả định'!$B$31:$B$50,MATCH(B22,'Giả định'!$A$31:$A$50,0)),NA()),"")</x:f>
        <x:v>0.00159</x:v>
      </x:c>
      <x:c r="D22" s="54" t="n">
        <x:f>IF(A22&lt;='Giả định'!$B$9,C22*'Giả định'!$F$6,"")</x:f>
        <x:v>0.00159</x:v>
      </x:c>
      <x:c r="E22" s="20" t="n">
        <x:f>IF(A22&lt;='Giả định'!$B$9,H21,"")</x:f>
        <x:v>0.45655890078140104</x:v>
      </x:c>
      <x:c r="F22" s="20" t="n">
        <x:f>IF(A22&lt;='Giả định'!$B$9,E22*D22,"")</x:f>
        <x:v>0.0007259286522424276</x:v>
      </x:c>
      <x:c r="G22" s="20" t="n">
        <x:f>IF(A22&lt;='Giả định'!$B$9,(E22-F22)*'Giả định'!$F$7,"")</x:f>
        <x:v>0.022791648606457934</x:v>
      </x:c>
      <x:c r="H22" s="20" t="n">
        <x:f>IF(A22&lt;='Giả định'!$B$9,E22-F22-G22,"")</x:f>
        <x:v>0.4330413235227007</x:v>
      </x:c>
      <x:c r="I22" s="20" t="n">
        <x:f>IF(A22&lt;='Giả định'!$B$9,1/(1+'Giả định'!$F$9)^(A22-1),"")</x:f>
        <x:v>0.48101709809097</x:v>
      </x:c>
      <x:c r="J22" s="20" t="n">
        <x:f>IF(A22&lt;='Giả định'!$B$9,1/(1+'Giả định'!$F$9)^A22,"")</x:f>
        <x:v>0.45811152199140004</x:v>
      </x:c>
      <x:c r="K22" s="20" t="n">
        <x:f>IF(A22&lt;='Giả định'!$B$9,E22*I22,"")</x:f>
        <x:v>0.21961263756147262</x:v>
      </x:c>
      <x:c r="L22" s="18" t="n">
        <x:f>IF(A22&lt;='Giả định'!$B$9,IF(A22=1,'Giả định'!$B$19,'Giả định'!$B$20),"")</x:f>
        <x:v>0.05</x:v>
      </x:c>
      <x:c r="M22" s="20" t="n">
        <x:f>IF(A22&lt;='Giả định'!$B$9,E22*L22*I22,"")</x:f>
        <x:v>0.010980631878073632</x:v>
      </x:c>
      <x:c r="N22" s="17" t="n">
        <x:f>IF(A22&lt;='Giả định'!$B$9,F22*'Giả định'!$B$10,"")</x:f>
        <x:v>72592.86522424276</x:v>
      </x:c>
      <x:c r="O22" s="17" t="n">
        <x:f>IF(A22&lt;='Giả định'!$B$9,IF(A22=1,E22*'Giả định'!$B$16*'Giả định'!$F$8,0),"")</x:f>
        <x:v>0</x:v>
      </x:c>
      <x:c r="P22" s="17" t="n">
        <x:f>IF(A22&lt;='Giả định'!$B$9,E22*'Giả định'!$B$17*(1+'Giả định'!$B$18)^(A22-1)*'Giả định'!$F$8,"")</x:f>
        <x:v>21339.116735294534</x:v>
      </x:c>
      <x:c r="Q22" s="17" t="n">
        <x:f>IF(A22&lt;='Giả định'!$B$9,N22*J22,"")</x:f>
        <x:v>33255.627973594426</x:v>
      </x:c>
      <x:c r="R22" s="17" t="n">
        <x:f>IF(A22&lt;='Giả định'!$B$9,O22*I22,"")</x:f>
        <x:v>0</x:v>
      </x:c>
      <x:c r="S22" s="17" t="n">
        <x:f>IF(A22&lt;='Giả định'!$B$9,P22*J22,"")</x:f>
        <x:v>9775.695245557934</x:v>
      </x:c>
      <x:c r="T22" s="57" t="n">
        <x:f>IF(A22&lt;='Giả định'!$B$9,'Tổng quan'!$B$7,"")</x:f>
        <x:v>168227.0000689228</x:v>
      </x:c>
      <x:c r="U22" s="17" t="n">
        <x:f>IF(A22&lt;='Giả định'!$B$9,E22*T22,"")</x:f>
        <x:v>76805.53423322007</x:v>
      </x:c>
      <x:c r="V22" s="17" t="n">
        <x:f>IF(A22&lt;='Giả định'!$B$9,U22*L22,"")</x:f>
        <x:v>3840.2767116610034</x:v>
      </x:c>
      <x:c r="W22" s="17" t="n">
        <x:f>IF(A22&lt;='Giả định'!$B$9,U22-N22-O22-P22-V22,"")</x:f>
        <x:v>-20966.724437978235</x:v>
      </x:c>
      <x:c r="X22" s="17" t="n">
        <x:f>IF(A22&lt;='Giả định'!$B$9,U22*I22,"")</x:f>
        <x:v>36944.77519419017</x:v>
      </x:c>
      <x:c r="Y22" s="17" t="n">
        <x:f>IF(A22&lt;='Giả định'!$B$9,V22*I22,"")</x:f>
        <x:v>1847.2387597095085</x:v>
      </x:c>
      <x:c r="Z22" s="17" t="n">
        <x:f>IF(A22&lt;='Giả định'!$B$9,X22-Q22-R22-S22-Y22,"")</x:f>
        <x:v>-7933.786784671695</x:v>
      </x:c>
      <x:c r="AA22" s="94" t="n">
        <x:f>IF(A22&lt;='Giả định'!$B$9,E22-F22-G22-H22,"")</x:f>
        <x:v>0</x:v>
      </x:c>
      <x:c r="AB22" s="94" t="n">
        <x:f>IF(A22&lt;='Giả định'!$B$9,E22-H21,"")</x:f>
        <x:v>0</x:v>
      </x:c>
    </x:row>
    <x:row r="23">
      <x:c r="A23" s="43" t="n">
        <x:f>A22+1</x:f>
        <x:v>17</x:v>
      </x:c>
      <x:c r="B23" s="53" t="n">
        <x:f>IF(A23&lt;='Giả định'!$B$9,'Giả định'!$B$8+A23-1,"")</x:f>
        <x:v>46</x:v>
      </x:c>
      <x:c r="C23" s="54" t="n">
        <x:f>IF(A23&lt;='Giả định'!$B$9,IF(COUNTIFS('Giả định'!$A$31:$A$50,B23,'Giả định'!$B$31:$B$50,"&lt;&gt;")=1,INDEX('Giả định'!$B$31:$B$50,MATCH(B23,'Giả định'!$A$31:$A$50,0)),NA()),"")</x:f>
        <x:v>0.00165</x:v>
      </x:c>
      <x:c r="D23" s="54" t="n">
        <x:f>IF(A23&lt;='Giả định'!$B$9,C23*'Giả định'!$F$6,"")</x:f>
        <x:v>0.00165</x:v>
      </x:c>
      <x:c r="E23" s="20" t="n">
        <x:f>IF(A23&lt;='Giả định'!$B$9,H22,"")</x:f>
        <x:v>0.4330413235227007</x:v>
      </x:c>
      <x:c r="F23" s="20" t="n">
        <x:f>IF(A23&lt;='Giả định'!$B$9,E23*D23,"")</x:f>
        <x:v>0.0007145181838124562</x:v>
      </x:c>
      <x:c r="G23" s="20" t="n">
        <x:f>IF(A23&lt;='Giả định'!$B$9,(E23-F23)*'Giả định'!$F$7,"")</x:f>
        <x:v>0.021616340266944412</x:v>
      </x:c>
      <x:c r="H23" s="20" t="n">
        <x:f>IF(A23&lt;='Giả định'!$B$9,E23-F23-G23,"")</x:f>
        <x:v>0.4107104650719438</x:v>
      </x:c>
      <x:c r="I23" s="20" t="n">
        <x:f>IF(A23&lt;='Giả định'!$B$9,1/(1+'Giả định'!$F$9)^(A23-1),"")</x:f>
        <x:v>0.45811152199140004</x:v>
      </x:c>
      <x:c r="J23" s="20" t="n">
        <x:f>IF(A23&lt;='Giả định'!$B$9,1/(1+'Giả định'!$F$9)^A23,"")</x:f>
        <x:v>0.4362966876108571</x:v>
      </x:c>
      <x:c r="K23" s="20" t="n">
        <x:f>IF(A23&lt;='Giả định'!$B$9,E23*I23,"")</x:f>
        <x:v>0.19838121980415468</x:v>
      </x:c>
      <x:c r="L23" s="18" t="n">
        <x:f>IF(A23&lt;='Giả định'!$B$9,IF(A23=1,'Giả định'!$B$19,'Giả định'!$B$20),"")</x:f>
        <x:v>0.05</x:v>
      </x:c>
      <x:c r="M23" s="20" t="n">
        <x:f>IF(A23&lt;='Giả định'!$B$9,E23*L23*I23,"")</x:f>
        <x:v>0.009919060990207734</x:v>
      </x:c>
      <x:c r="N23" s="17" t="n">
        <x:f>IF(A23&lt;='Giả định'!$B$9,F23*'Giả định'!$B$10,"")</x:f>
        <x:v>71451.81838124561</x:v>
      </x:c>
      <x:c r="O23" s="17" t="n">
        <x:f>IF(A23&lt;='Giả định'!$B$9,IF(A23=1,E23*'Giả định'!$B$16*'Giả định'!$F$8,0),"")</x:f>
        <x:v>0</x:v>
      </x:c>
      <x:c r="P23" s="17" t="n">
        <x:f>IF(A23&lt;='Giả định'!$B$9,E23*'Giả định'!$B$17*(1+'Giả định'!$B$18)^(A23-1)*'Giả định'!$F$8,"")</x:f>
        <x:v>20847.12600758218</x:v>
      </x:c>
      <x:c r="Q23" s="17" t="n">
        <x:f>IF(A23&lt;='Giả định'!$B$9,N23*J23,"")</x:f>
        <x:v>31174.191683510013</x:v>
      </x:c>
      <x:c r="R23" s="17" t="n">
        <x:f>IF(A23&lt;='Giả định'!$B$9,O23*I23,"")</x:f>
        <x:v>0</x:v>
      </x:c>
      <x:c r="S23" s="17" t="n">
        <x:f>IF(A23&lt;='Giả định'!$B$9,P23*J23,"")</x:f>
        <x:v>9095.532023314257</x:v>
      </x:c>
      <x:c r="T23" s="57" t="n">
        <x:f>IF(A23&lt;='Giả định'!$B$9,'Tổng quan'!$B$7,"")</x:f>
        <x:v>168227.0000689228</x:v>
      </x:c>
      <x:c r="U23" s="17" t="n">
        <x:f>IF(A23&lt;='Giả định'!$B$9,E23*T23,"")</x:f>
        <x:v>72849.24276209979</x:v>
      </x:c>
      <x:c r="V23" s="17" t="n">
        <x:f>IF(A23&lt;='Giả định'!$B$9,U23*L23,"")</x:f>
        <x:v>3642.4621381049897</x:v>
      </x:c>
      <x:c r="W23" s="17" t="n">
        <x:f>IF(A23&lt;='Giả định'!$B$9,U23-N23-O23-P23-V23,"")</x:f>
        <x:v>-23092.163764832992</x:v>
      </x:c>
      <x:c r="X23" s="17" t="n">
        <x:f>IF(A23&lt;='Giả định'!$B$9,U23*I23,"")</x:f>
        <x:v>33373.07747766652</x:v>
      </x:c>
      <x:c r="Y23" s="17" t="n">
        <x:f>IF(A23&lt;='Giả định'!$B$9,V23*I23,"")</x:f>
        <x:v>1668.653873883326</x:v>
      </x:c>
      <x:c r="Z23" s="17" t="n">
        <x:f>IF(A23&lt;='Giả định'!$B$9,X23-Q23-R23-S23-Y23,"")</x:f>
        <x:v>-8565.300103041076</x:v>
      </x:c>
      <x:c r="AA23" s="94" t="n">
        <x:f>IF(A23&lt;='Giả định'!$B$9,E23-F23-G23-H23,"")</x:f>
        <x:v>0</x:v>
      </x:c>
      <x:c r="AB23" s="94" t="n">
        <x:f>IF(A23&lt;='Giả định'!$B$9,E23-H22,"")</x:f>
        <x:v>0</x:v>
      </x:c>
    </x:row>
    <x:row r="24">
      <x:c r="A24" s="43" t="n">
        <x:f>A23+1</x:f>
        <x:v>18</x:v>
      </x:c>
      <x:c r="B24" s="53" t="n">
        <x:f>IF(A24&lt;='Giả định'!$B$9,'Giả định'!$B$8+A24-1,"")</x:f>
        <x:v>47</x:v>
      </x:c>
      <x:c r="C24" s="54" t="n">
        <x:f>IF(A24&lt;='Giả định'!$B$9,IF(COUNTIFS('Giả định'!$A$31:$A$50,B24,'Giả định'!$B$31:$B$50,"&lt;&gt;")=1,INDEX('Giả định'!$B$31:$B$50,MATCH(B24,'Giả định'!$A$31:$A$50,0)),NA()),"")</x:f>
        <x:v>0.00171</x:v>
      </x:c>
      <x:c r="D24" s="54" t="n">
        <x:f>IF(A24&lt;='Giả định'!$B$9,C24*'Giả định'!$F$6,"")</x:f>
        <x:v>0.00171</x:v>
      </x:c>
      <x:c r="E24" s="20" t="n">
        <x:f>IF(A24&lt;='Giả định'!$B$9,H23,"")</x:f>
        <x:v>0.4107104650719438</x:v>
      </x:c>
      <x:c r="F24" s="20" t="n">
        <x:f>IF(A24&lt;='Giả định'!$B$9,E24*D24,"")</x:f>
        <x:v>0.0007023148952730239</x:v>
      </x:c>
      <x:c r="G24" s="20" t="n">
        <x:f>IF(A24&lt;='Giả định'!$B$9,(E24-F24)*'Giả định'!$F$7,"")</x:f>
        <x:v>0.020500407508833543</x:v>
      </x:c>
      <x:c r="H24" s="20" t="n">
        <x:f>IF(A24&lt;='Giả định'!$B$9,E24-F24-G24,"")</x:f>
        <x:v>0.3895077426678373</x:v>
      </x:c>
      <x:c r="I24" s="20" t="n">
        <x:f>IF(A24&lt;='Giả định'!$B$9,1/(1+'Giả định'!$F$9)^(A24-1),"")</x:f>
        <x:v>0.4362966876108571</x:v>
      </x:c>
      <x:c r="J24" s="20" t="n">
        <x:f>IF(A24&lt;='Giả định'!$B$9,1/(1+'Giả định'!$F$9)^A24,"")</x:f>
        <x:v>0.415520654867483</x:v>
      </x:c>
      <x:c r="K24" s="20" t="n">
        <x:f>IF(A24&lt;='Giả định'!$B$9,E24*I24,"")</x:f>
        <x:v>0.17919161547800372</x:v>
      </x:c>
      <x:c r="L24" s="18" t="n">
        <x:f>IF(A24&lt;='Giả định'!$B$9,IF(A24=1,'Giả định'!$B$19,'Giả định'!$B$20),"")</x:f>
        <x:v>0.05</x:v>
      </x:c>
      <x:c r="M24" s="20" t="n">
        <x:f>IF(A24&lt;='Giả định'!$B$9,E24*L24*I24,"")</x:f>
        <x:v>0.008959580773900185</x:v>
      </x:c>
      <x:c r="N24" s="17" t="n">
        <x:f>IF(A24&lt;='Giả định'!$B$9,F24*'Giả định'!$B$10,"")</x:f>
        <x:v>70231.48952730239</x:v>
      </x:c>
      <x:c r="O24" s="17" t="n">
        <x:f>IF(A24&lt;='Giả định'!$B$9,IF(A24=1,E24*'Giả định'!$B$16*'Giả định'!$F$8,0),"")</x:f>
        <x:v>0</x:v>
      </x:c>
      <x:c r="P24" s="17" t="n">
        <x:f>IF(A24&lt;='Giả định'!$B$9,E24*'Giả định'!$B$17*(1+'Giả định'!$B$18)^(A24-1)*'Giả định'!$F$8,"")</x:f>
        <x:v>20365.25459230177</x:v>
      </x:c>
      <x:c r="Q24" s="17" t="n">
        <x:f>IF(A24&lt;='Giả định'!$B$9,N24*J24,"")</x:f>
        <x:v>29182.634520703465</x:v>
      </x:c>
      <x:c r="R24" s="17" t="n">
        <x:f>IF(A24&lt;='Giả định'!$B$9,O24*I24,"")</x:f>
        <x:v>0</x:v>
      </x:c>
      <x:c r="S24" s="17" t="n">
        <x:f>IF(A24&lt;='Giả định'!$B$9,P24*J24,"")</x:f>
        <x:v>8462.183924736248</x:v>
      </x:c>
      <x:c r="T24" s="57" t="n">
        <x:f>IF(A24&lt;='Giả định'!$B$9,'Tổng quan'!$B$7,"")</x:f>
        <x:v>168227.0000689228</x:v>
      </x:c>
      <x:c r="U24" s="17" t="n">
        <x:f>IF(A24&lt;='Giả định'!$B$9,E24*T24,"")</x:f>
        <x:v>69092.5894359652</x:v>
      </x:c>
      <x:c r="V24" s="17" t="n">
        <x:f>IF(A24&lt;='Giả định'!$B$9,U24*L24,"")</x:f>
        <x:v>3454.62947179826</x:v>
      </x:c>
      <x:c r="W24" s="17" t="n">
        <x:f>IF(A24&lt;='Giả định'!$B$9,U24-N24-O24-P24-V24,"")</x:f>
        <x:v>-24958.784155437217</x:v>
      </x:c>
      <x:c r="X24" s="17" t="n">
        <x:f>IF(A24&lt;='Giả định'!$B$9,U24*I24,"")</x:f>
        <x:v>30144.867909368513</x:v>
      </x:c>
      <x:c r="Y24" s="17" t="n">
        <x:f>IF(A24&lt;='Giả định'!$B$9,V24*I24,"")</x:f>
        <x:v>1507.2433954684257</x:v>
      </x:c>
      <x:c r="Z24" s="17" t="n">
        <x:f>IF(A24&lt;='Giả định'!$B$9,X24-Q24-R24-S24-Y24,"")</x:f>
        <x:v>-9007.193931539625</x:v>
      </x:c>
      <x:c r="AA24" s="94" t="n">
        <x:f>IF(A24&lt;='Giả định'!$B$9,E24-F24-G24-H24,"")</x:f>
        <x:v>0</x:v>
      </x:c>
      <x:c r="AB24" s="94" t="n">
        <x:f>IF(A24&lt;='Giả định'!$B$9,E24-H23,"")</x:f>
        <x:v>0</x:v>
      </x:c>
    </x:row>
    <x:row r="25">
      <x:c r="A25" s="43" t="n">
        <x:f>A24+1</x:f>
        <x:v>19</x:v>
      </x:c>
      <x:c r="B25" s="53" t="n">
        <x:f>IF(A25&lt;='Giả định'!$B$9,'Giả định'!$B$8+A25-1,"")</x:f>
        <x:v>48</x:v>
      </x:c>
      <x:c r="C25" s="54" t="n">
        <x:f>IF(A25&lt;='Giả định'!$B$9,IF(COUNTIFS('Giả định'!$A$31:$A$50,B25,'Giả định'!$B$31:$B$50,"&lt;&gt;")=1,INDEX('Giả định'!$B$31:$B$50,MATCH(B25,'Giả định'!$A$31:$A$50,0)),NA()),"")</x:f>
        <x:v>0.00179</x:v>
      </x:c>
      <x:c r="D25" s="54" t="n">
        <x:f>IF(A25&lt;='Giả định'!$B$9,C25*'Giả định'!$F$6,"")</x:f>
        <x:v>0.00179</x:v>
      </x:c>
      <x:c r="E25" s="20" t="n">
        <x:f>IF(A25&lt;='Giả định'!$B$9,H24,"")</x:f>
        <x:v>0.3895077426678373</x:v>
      </x:c>
      <x:c r="F25" s="20" t="n">
        <x:f>IF(A25&lt;='Giả định'!$B$9,E25*D25,"")</x:f>
        <x:v>0.0006972188593754287</x:v>
      </x:c>
      <x:c r="G25" s="20" t="n">
        <x:f>IF(A25&lt;='Giả định'!$B$9,(E25-F25)*'Giả định'!$F$7,"")</x:f>
        <x:v>0.019440526190423094</x:v>
      </x:c>
      <x:c r="H25" s="20" t="n">
        <x:f>IF(A25&lt;='Giả định'!$B$9,E25-F25-G25,"")</x:f>
        <x:v>0.3693699976180388</x:v>
      </x:c>
      <x:c r="I25" s="20" t="n">
        <x:f>IF(A25&lt;='Giả định'!$B$9,1/(1+'Giả định'!$F$9)^(A25-1),"")</x:f>
        <x:v>0.415520654867483</x:v>
      </x:c>
      <x:c r="J25" s="20" t="n">
        <x:f>IF(A25&lt;='Giả định'!$B$9,1/(1+'Giả định'!$F$9)^A25,"")</x:f>
        <x:v>0.39573395701665043</x:v>
      </x:c>
      <x:c r="K25" s="20" t="n">
        <x:f>IF(A25&lt;='Giả định'!$B$9,E25*I25,"")</x:f>
        <x:v>0.1618485123092948</x:v>
      </x:c>
      <x:c r="L25" s="18" t="n">
        <x:f>IF(A25&lt;='Giả định'!$B$9,IF(A25=1,'Giả định'!$B$19,'Giả định'!$B$20),"")</x:f>
        <x:v>0.05</x:v>
      </x:c>
      <x:c r="M25" s="20" t="n">
        <x:f>IF(A25&lt;='Giả định'!$B$9,E25*L25*I25,"")</x:f>
        <x:v>0.00809242561546474</x:v>
      </x:c>
      <x:c r="N25" s="17" t="n">
        <x:f>IF(A25&lt;='Giả định'!$B$9,F25*'Giả định'!$B$10,"")</x:f>
        <x:v>69721.88593754287</x:v>
      </x:c>
      <x:c r="O25" s="17" t="n">
        <x:f>IF(A25&lt;='Giả định'!$B$9,IF(A25=1,E25*'Giả định'!$B$16*'Giả định'!$F$8,0),"")</x:f>
        <x:v>0</x:v>
      </x:c>
      <x:c r="P25" s="17" t="n">
        <x:f>IF(A25&lt;='Giả định'!$B$9,E25*'Giả định'!$B$17*(1+'Giả định'!$B$18)^(A25-1)*'Giả định'!$F$8,"")</x:f>
        <x:v>19893.325761799533</x:v>
      </x:c>
      <x:c r="Q25" s="17" t="n">
        <x:f>IF(A25&lt;='Giả định'!$B$9,N25*J25,"")</x:f>
        <x:v>27591.317812727397</x:v>
      </x:c>
      <x:c r="R25" s="17" t="n">
        <x:f>IF(A25&lt;='Giả định'!$B$9,O25*I25,"")</x:f>
        <x:v>0</x:v>
      </x:c>
      <x:c r="S25" s="17" t="n">
        <x:f>IF(A25&lt;='Giả định'!$B$9,P25*J25,"")</x:f>
        <x:v>7872.464521938201</x:v>
      </x:c>
      <x:c r="T25" s="57" t="n">
        <x:f>IF(A25&lt;='Giả định'!$B$9,'Tổng quan'!$B$7,"")</x:f>
        <x:v>168227.0000689228</x:v>
      </x:c>
      <x:c r="U25" s="17" t="n">
        <x:f>IF(A25&lt;='Giả định'!$B$9,E25*T25,"")</x:f>
        <x:v>65525.71905262822</x:v>
      </x:c>
      <x:c r="V25" s="17" t="n">
        <x:f>IF(A25&lt;='Giả định'!$B$9,U25*L25,"")</x:f>
        <x:v>3276.2859526314114</x:v>
      </x:c>
      <x:c r="W25" s="17" t="n">
        <x:f>IF(A25&lt;='Giả định'!$B$9,U25-N25-O25-P25-V25,"")</x:f>
        <x:v>-27365.7785993456</x:v>
      </x:c>
      <x:c r="X25" s="17" t="n">
        <x:f>IF(A25&lt;='Giả định'!$B$9,U25*I25,"")</x:f>
        <x:v>27227.289691410788</x:v>
      </x:c>
      <x:c r="Y25" s="17" t="n">
        <x:f>IF(A25&lt;='Giả định'!$B$9,V25*I25,"")</x:f>
        <x:v>1361.3644845705396</x:v>
      </x:c>
      <x:c r="Z25" s="17" t="n">
        <x:f>IF(A25&lt;='Giả định'!$B$9,X25-Q25-R25-S25-Y25,"")</x:f>
        <x:v>-9597.85712782535</x:v>
      </x:c>
      <x:c r="AA25" s="94" t="n">
        <x:f>IF(A25&lt;='Giả định'!$B$9,E25-F25-G25-H25,"")</x:f>
        <x:v>0</x:v>
      </x:c>
      <x:c r="AB25" s="94" t="n">
        <x:f>IF(A25&lt;='Giả định'!$B$9,E25-H24,"")</x:f>
        <x:v>0</x:v>
      </x:c>
    </x:row>
    <x:row r="26">
      <x:c r="A26" s="44" t="n">
        <x:f>A25+1</x:f>
        <x:v>20</x:v>
      </x:c>
      <x:c r="B26" s="55" t="n">
        <x:f>IF(A26&lt;='Giả định'!$B$9,'Giả định'!$B$8+A26-1,"")</x:f>
        <x:v>49</x:v>
      </x:c>
      <x:c r="C26" s="56" t="n">
        <x:f>IF(A26&lt;='Giả định'!$B$9,IF(COUNTIFS('Giả định'!$A$31:$A$50,B26,'Giả định'!$B$31:$B$50,"&lt;&gt;")=1,INDEX('Giả định'!$B$31:$B$50,MATCH(B26,'Giả định'!$A$31:$A$50,0)),NA()),"")</x:f>
        <x:v>0.00188</x:v>
      </x:c>
      <x:c r="D26" s="56" t="n">
        <x:f>IF(A26&lt;='Giả định'!$B$9,C26*'Giả định'!$F$6,"")</x:f>
        <x:v>0.00188</x:v>
      </x:c>
      <x:c r="E26" s="47" t="n">
        <x:f>IF(A26&lt;='Giả định'!$B$9,H25,"")</x:f>
        <x:v>0.3693699976180388</x:v>
      </x:c>
      <x:c r="F26" s="47" t="n">
        <x:f>IF(A26&lt;='Giả định'!$B$9,E26*D26,"")</x:f>
        <x:v>0.0006944155955219129</x:v>
      </x:c>
      <x:c r="G26" s="47" t="n">
        <x:f>IF(A26&lt;='Giả định'!$B$9,(E26-F26)*'Giả định'!$F$7,"")</x:f>
        <x:v>0.018433779101125845</x:v>
      </x:c>
      <x:c r="H26" s="47" t="n">
        <x:f>IF(A26&lt;='Giả định'!$B$9,E26-F26-G26,"")</x:f>
        <x:v>0.350241802921391</x:v>
      </x:c>
      <x:c r="I26" s="47" t="n">
        <x:f>IF(A26&lt;='Giả định'!$B$9,1/(1+'Giả định'!$F$9)^(A26-1),"")</x:f>
        <x:v>0.39573395701665043</x:v>
      </x:c>
      <x:c r="J26" s="47" t="n">
        <x:f>IF(A26&lt;='Giả định'!$B$9,1/(1+'Giả định'!$F$9)^A26,"")</x:f>
        <x:v>0.3768894828730004</x:v>
      </x:c>
      <x:c r="K26" s="47" t="n">
        <x:f>IF(A26&lt;='Giả định'!$B$9,E26*I26,"")</x:f>
        <x:v>0.14617225076061724</x:v>
      </x:c>
      <x:c r="L26" s="19" t="n">
        <x:f>IF(A26&lt;='Giả định'!$B$9,IF(A26=1,'Giả định'!$B$19,'Giả định'!$B$20),"")</x:f>
        <x:v>0.05</x:v>
      </x:c>
      <x:c r="M26" s="47" t="n">
        <x:f>IF(A26&lt;='Giả định'!$B$9,E26*L26*I26,"")</x:f>
        <x:v>0.007308612538030862</x:v>
      </x:c>
      <x:c r="N26" s="50" t="n">
        <x:f>IF(A26&lt;='Giả định'!$B$9,F26*'Giả định'!$B$10,"")</x:f>
        <x:v>69441.55955219129</x:v>
      </x:c>
      <x:c r="O26" s="50" t="n">
        <x:f>IF(A26&lt;='Giả định'!$B$9,IF(A26=1,E26*'Giả định'!$B$16*'Giả định'!$F$8,0),"")</x:f>
        <x:v>0</x:v>
      </x:c>
      <x:c r="P26" s="50" t="n">
        <x:f>IF(A26&lt;='Giả định'!$B$9,E26*'Giả định'!$B$17*(1+'Giả định'!$B$18)^(A26-1)*'Giả định'!$F$8,"")</x:f>
        <x:v>19430.77579944917</x:v>
      </x:c>
      <x:c r="Q26" s="50" t="n">
        <x:f>IF(A26&lt;='Giả định'!$B$9,N26*J26,"")</x:f>
        <x:v>26171.793469520035</x:v>
      </x:c>
      <x:c r="R26" s="50" t="n">
        <x:f>IF(A26&lt;='Giả định'!$B$9,O26*I26,"")</x:f>
        <x:v>0</x:v>
      </x:c>
      <x:c r="S26" s="50" t="n">
        <x:f>IF(A26&lt;='Giả định'!$B$9,P26*J26,"")</x:f>
        <x:v>7323.2550428756085</x:v>
      </x:c>
      <x:c r="T26" s="58" t="n">
        <x:f>IF(A26&lt;='Giả định'!$B$9,'Tổng quan'!$B$7,"")</x:f>
        <x:v>168227.0000689228</x:v>
      </x:c>
      <x:c r="U26" s="50" t="n">
        <x:f>IF(A26&lt;='Giả định'!$B$9,E26*T26,"")</x:f>
        <x:v>62138.00661474782</x:v>
      </x:c>
      <x:c r="V26" s="50" t="n">
        <x:f>IF(A26&lt;='Giả định'!$B$9,U26*L26,"")</x:f>
        <x:v>3106.9003307373914</x:v>
      </x:c>
      <x:c r="W26" s="50" t="n">
        <x:f>IF(A26&lt;='Giả định'!$B$9,U26-N26-O26-P26-V26,"")</x:f>
        <x:v>-29841.229067630033</x:v>
      </x:c>
      <x:c r="X26" s="50" t="n">
        <x:f>IF(A26&lt;='Giả định'!$B$9,U26*I26,"")</x:f>
        <x:v>24590.119238780953</x:v>
      </x:c>
      <x:c r="Y26" s="50" t="n">
        <x:f>IF(A26&lt;='Giả định'!$B$9,V26*I26,"")</x:f>
        <x:v>1229.505961939048</x:v>
      </x:c>
      <x:c r="Z26" s="50" t="n">
        <x:f>IF(A26&lt;='Giả định'!$B$9,X26-Q26-R26-S26-Y26,"")</x:f>
        <x:v>-10134.435235553738</x:v>
      </x:c>
      <x:c r="AA26" s="94" t="n">
        <x:f>IF(A26&lt;='Giả định'!$B$9,E26-F26-G26-H26,"")</x:f>
        <x:v>0</x:v>
      </x:c>
      <x:c r="AB26" s="94" t="n">
        <x:f>IF(A26&lt;='Giả định'!$B$9,E26-H25,"")</x:f>
        <x:v>0</x:v>
      </x:c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6"/>
      <x:c r="L27" s="64"/>
      <x:c r="M27" s="66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  <x:c r="AA27" s="64"/>
      <x:c r="AB27" s="64"/>
    </x:row>
    <x:row r="28">
      <x:c r="A28" s="68" t="str">
        <x:v>Tổng</x:v>
      </x:c>
      <x:c r="B28" s="68"/>
      <x:c r="C28" s="68"/>
      <x:c r="D28" s="68"/>
      <x:c r="E28" s="68"/>
      <x:c r="F28" s="68"/>
      <x:c r="G28" s="68"/>
      <x:c r="H28" s="68" t="n">
        <x:f>SUMIFS(H7:H26,A7:A26,'Giả định'!$B$9)</x:f>
        <x:v>0.350241802921391</x:v>
      </x:c>
      <x:c r="I28" s="68"/>
      <x:c r="J28" s="68"/>
      <x:c r="K28" s="69" t="n">
        <x:f>SUM(K7:K26)</x:f>
        <x:v>9.035703853938394</x:v>
      </x:c>
      <x:c r="L28" s="68"/>
      <x:c r="M28" s="69" t="n">
        <x:f>SUM(M7:M26)</x:f>
        <x:v>0.7017851926969197</x:v>
      </x:c>
      <x:c r="N28" s="70" t="n">
        <x:f>SUM(N7:N26)</x:f>
        <x:v>1309134.5479851176</x:v>
      </x:c>
      <x:c r="O28" s="70" t="n">
        <x:f>SUM(O7:O26)</x:f>
        <x:v>150000</x:v>
      </x:c>
      <x:c r="P28" s="70" t="n">
        <x:f>SUM(P7:P26)</x:f>
        <x:v>488184.09753417264</x:v>
      </x:c>
      <x:c r="Q28" s="70" t="n">
        <x:f>SUM(Q7:Q26)</x:f>
        <x:v>784665.6665094628</x:v>
      </x:c>
      <x:c r="R28" s="70" t="n">
        <x:f>SUM(R7:R26)</x:f>
        <x:v>150000</x:v>
      </x:c>
      <x:c r="S28" s="70" t="n">
        <x:f>SUM(S7:S26)</x:f>
        <x:v>315319.5334036776</x:v>
      </x:c>
      <x:c r="T28" s="70"/>
      <x:c r="U28" s="70" t="n">
        <x:f>SUM(U7:U26)</x:f>
        <x:v>2144293.407532641</x:v>
      </x:c>
      <x:c r="V28" s="70" t="n">
        <x:f>SUM(V7:V26)</x:f>
        <x:v>149271.4203938627</x:v>
      </x:c>
      <x:c r="W28" s="70" t="n">
        <x:f>SUM(W7:W26)</x:f>
        <x:v>47703.341619487896</x:v>
      </x:c>
      <x:c r="X28" s="70" t="n">
        <x:f>SUM(X7:X26)</x:f>
        <x:v>1520049.35285926</x:v>
      </x:c>
      <x:c r="Y28" s="70" t="n">
        <x:f>SUM(Y7:Y26)</x:f>
        <x:v>118059.21766019374</x:v>
      </x:c>
      <x:c r="Z28" s="70" t="n">
        <x:f>SUM(Z7:Z26)</x:f>
        <x:v>152004.93528592616</x:v>
      </x:c>
      <x:c r="AA28" s="64"/>
      <x:c r="AB28" s="64"/>
    </x:row>
  </x:sheetData>
  <x:conditionalFormatting sqref="AA7:AB26">
    <x:cfRule type="cellIs" dxfId="3" priority="1" operator="notBetween">
      <x:formula>-1e-10</x:formula>
      <x:formula>1e-10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A6B2"/>
  </x:sheetPr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58" hidden="0" customWidth="1"/>
    <x:col min="4" max="4" width="60" hidden="0" customWidth="1"/>
  </x:cols>
  <x:sheetData>
    <x:row r="2">
      <x:c r="A2" s="63" t="str">
        <x:v>Công thức cần hiểu</x:v>
      </x:c>
      <x:c r="B2" s="64"/>
      <x:c r="C2" s="64"/>
      <x:c r="D2" s="64"/>
    </x:row>
    <x:row r="3">
      <x:c r="A3" s="65" t="str">
        <x:v>Không cần học địa chỉ ô; cần nhớ quan hệ giữa các đại lượng</x:v>
      </x:c>
      <x:c r="B3" s="64"/>
      <x:c r="C3" s="64"/>
      <x:c r="D3" s="64"/>
    </x:row>
    <x:row r="4">
      <x:c r="A4" s="64"/>
      <x:c r="B4" s="64"/>
      <x:c r="C4" s="64"/>
      <x:c r="D4" s="64"/>
    </x:row>
    <x:row r="5">
      <x:c r="A5" s="8" t="str">
        <x:v>Hạng mục</x:v>
      </x:c>
      <x:c r="B5" s="8" t="str">
        <x:v>Công thức toán</x:v>
      </x:c>
      <x:c r="C5" s="8" t="str">
        <x:v>Công thức Excel mẫu</x:v>
      </x:c>
      <x:c r="D5" s="8" t="str">
        <x:v>Ý nghĩa</x:v>
      </x:c>
    </x:row>
    <x:row r="6" ht="32" customHeight="1">
      <x:c r="A6" s="13" t="str">
        <x:v>qₓ áp dụng</x:v>
      </x:c>
      <x:c r="B6" s="59" t="str">
        <x:v>qₓ gốc × hệ số tử vong</x:v>
      </x:c>
      <x:c r="C6" s="33" t="str">
        <x:v>=C7*'Giả định'!$F$6</x:v>
      </x:c>
      <x:c r="D6" s="26" t="str">
        <x:v>Stress tử vong làm thay đổi xác suất tử vong.</x:v>
      </x:c>
    </x:row>
    <x:row r="7" ht="32" customHeight="1">
      <x:c r="A7" s="13" t="str">
        <x:v>Tử vong kỳ vọng</x:v>
      </x:c>
      <x:c r="B7" s="59" t="str">
        <x:v>Hiệu lực đầu năm × qₓ</x:v>
      </x:c>
      <x:c r="C7" s="33" t="str">
        <x:v>=E7*D7</x:v>
      </x:c>
      <x:c r="D7" s="26" t="str">
        <x:v>Số trường hợp tử vong kỳ vọng trong năm.</x:v>
      </x:c>
    </x:row>
    <x:row r="8" ht="32" customHeight="1">
      <x:c r="A8" s="13" t="str">
        <x:v>Hủy kỳ vọng</x:v>
      </x:c>
      <x:c r="B8" s="59" t="str">
        <x:v>(Đầu năm − tử vong) × lapse</x:v>
      </x:c>
      <x:c r="C8" s="33" t="str">
        <x:v>=(E7-F7)*'Giả định'!$F$7</x:v>
      </x:c>
      <x:c r="D8" s="26" t="str">
        <x:v>Chỉ hợp đồng còn sống mới có thể hủy.</x:v>
      </x:c>
    </x:row>
    <x:row r="9" ht="32" customHeight="1">
      <x:c r="A9" s="13" t="str">
        <x:v>Hiệu lực cuối năm</x:v>
      </x:c>
      <x:c r="B9" s="59" t="str">
        <x:v>Đầu năm − tử vong − hủy</x:v>
      </x:c>
      <x:c r="C9" s="33" t="str">
        <x:v>=E7-F7-G7</x:v>
      </x:c>
      <x:c r="D9" s="26" t="str">
        <x:v>Cuối năm trước bằng đầu năm sau.</x:v>
      </x:c>
    </x:row>
    <x:row r="10" ht="32" customHeight="1">
      <x:c r="A10" s="13" t="str">
        <x:v>DF đầu năm</x:v>
      </x:c>
      <x:c r="B10" s="59" t="str">
        <x:v>1 / (1+i)^(t−1)</x:v>
      </x:c>
      <x:c r="C10" s="33" t="str">
        <x:v>=1/(1+i)^(A7-1)</x:v>
      </x:c>
      <x:c r="D10" s="26" t="str">
        <x:v>Dùng cho phí và hoa hồng trả đầu năm.</x:v>
      </x:c>
    </x:row>
    <x:row r="11" ht="32" customHeight="1">
      <x:c r="A11" s="13" t="str">
        <x:v>DF cuối năm</x:v>
      </x:c>
      <x:c r="B11" s="59" t="str">
        <x:v>1 / (1+i)^t</x:v>
      </x:c>
      <x:c r="C11" s="33" t="str">
        <x:v>=1/(1+i)^A7</x:v>
      </x:c>
      <x:c r="D11" s="26" t="str">
        <x:v>Dùng cho quyền lợi và chi phí duy trì cuối năm.</x:v>
      </x:c>
    </x:row>
    <x:row r="12" ht="32" customHeight="1">
      <x:c r="A12" s="13" t="str">
        <x:v>Quyền lợi kỳ vọng</x:v>
      </x:c>
      <x:c r="B12" s="59" t="str">
        <x:v>Tử vong × số tiền bảo hiểm</x:v>
      </x:c>
      <x:c r="C12" s="33" t="str">
        <x:v>=F7*SA</x:v>
      </x:c>
      <x:c r="D12" s="26" t="str">
        <x:v>Chi phí yêu cầu bồi thường kỳ vọng.</x:v>
      </x:c>
    </x:row>
    <x:row r="13" ht="32" customHeight="1">
      <x:c r="A13" s="13" t="str">
        <x:v>Hoa hồng</x:v>
      </x:c>
      <x:c r="B13" s="59" t="str">
        <x:v>Phí thu × tỷ lệ hoa hồng</x:v>
      </x:c>
      <x:c r="C13" s="33" t="str">
        <x:v>=U7*L7</x:v>
      </x:c>
      <x:c r="D13" s="26" t="str">
        <x:v>Hoa hồng năm đầu và tái tục khác nhau.</x:v>
      </x:c>
    </x:row>
    <x:row r="14" ht="32" customHeight="1">
      <x:c r="A14" s="13" t="str">
        <x:v>Chi phí duy trì</x:v>
      </x:c>
      <x:c r="B14" s="59" t="str">
        <x:v>Đầu năm × CP đơn vị × lạm phát</x:v>
      </x:c>
      <x:c r="C14" s="33" t="str">
        <x:v>=E7*CP*(1+inflation)^(t-1)</x:v>
      </x:c>
      <x:c r="D14" s="26" t="str">
        <x:v>Chi phí tăng theo thời gian.</x:v>
      </x:c>
    </x:row>
    <x:row r="15" ht="32" customHeight="1">
      <x:c r="A15" s="13" t="str">
        <x:v>PV dòng tiền</x:v>
      </x:c>
      <x:c r="B15" s="59" t="str">
        <x:v>Dòng tiền × discount factor</x:v>
      </x:c>
      <x:c r="C15" s="33" t="str">
        <x:v>=CashFlow*DF</x:v>
      </x:c>
      <x:c r="D15" s="26" t="str">
        <x:v>Đưa dòng tiền tương lai về thời điểm định phí.</x:v>
      </x:c>
    </x:row>
    <x:row r="16" ht="32" customHeight="1">
      <x:c r="A16" s="13" t="str">
        <x:v>Phí năm cần thiết</x:v>
      </x:c>
      <x:c r="B16" s="59" t="str">
        <x:v>PV outflow / [(1−PM)×PV exposure phí−PV hệ số hoa hồng]</x:v>
      </x:c>
      <x:c r="C16" s="33" t="str">
        <x:v>=(PVClaim+PVExpense)/((1-PM)*PVExp-PVCommFactor)</x:v>
      </x:c>
      <x:c r="D16" s="26" t="str">
        <x:v>Giải trực tiếp, không cần Goal Seek vì mô hình tuyến tính theo phí.</x:v>
      </x:c>
    </x:row>
    <x:row r="17" ht="32" customHeight="1">
      <x:c r="A17" s="13" t="str">
        <x:v>PV lợi nhuận</x:v>
      </x:c>
      <x:c r="B17" s="59" t="str">
        <x:v>PV phí − PV claim − PV expense − PV commission</x:v>
      </x:c>
      <x:c r="C17" s="33" t="str">
        <x:v>=PVPremium-PVClaim-PVExpense-PVCommission</x:v>
      </x:c>
      <x:c r="D17" s="26" t="str">
        <x:v>Lợi nhuận tại thời điểm định phí.</x:v>
      </x:c>
    </x:row>
    <x:row r="18" ht="32" customHeight="1">
      <x:c r="A18" s="16" t="str">
        <x:v>Profit margin</x:v>
      </x:c>
      <x:c r="B18" s="60" t="str">
        <x:v>PV Profit / PV Premium</x:v>
      </x:c>
      <x:c r="C18" s="61" t="str">
        <x:v>=PVProfit/PVPremium</x:v>
      </x:c>
      <x:c r="D18" s="62" t="str">
        <x:v>Chỉ tiêu lợi nhuận chính của project.</x:v>
      </x:c>
    </x:row>
    <x:row r="19">
      <x:c r="A19" s="64"/>
      <x:c r="B19" s="64"/>
      <x:c r="C19" s="64"/>
      <x:c r="D19" s="64"/>
    </x:row>
    <x:row r="20">
      <x:c r="A20" s="65" t="str">
        <x:v>Chỉ tiêu profit hiện tại: chênh lệch PV dòng tiền; chưa phải lợi nhuận kế toán có reserve/vốn/thuế.</x:v>
      </x:c>
      <x:c r="B20" s="65"/>
      <x:c r="C20" s="65"/>
      <x:c r="D20" s="65"/>
    </x:row>
    <x:row r="21">
      <x:c r="A21" s="65" t="str">
        <x:v>Lapse +25% là tăng tương đối: 5% × 1,25 = 6,25%; lãi suất -1 điểm %: 5% → 4%.</x:v>
      </x:c>
      <x:c r="B21" s="65"/>
      <x:c r="C21" s="65"/>
      <x:c r="D21" s="6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35" hidden="0" customWidth="1"/>
  </x:cols>
  <x:sheetData>
    <x:row r="2">
      <x:c r="A2" s="63" t="str">
        <x:v>Đối chiếu Python và Microsoft Excel</x:v>
      </x:c>
      <x:c r="B2" s="64"/>
    </x:row>
    <x:row r="3">
      <x:c r="A3" s="64"/>
      <x:c r="B3" s="64"/>
    </x:row>
    <x:row r="4">
      <x:c r="A4" s="95" t="str">
        <x:v>Hạng mục</x:v>
      </x:c>
      <x:c r="B4" s="95" t="str">
        <x:v>Bằng chứng</x:v>
      </x:c>
    </x:row>
    <x:row r="5">
      <x:c r="A5" s="13" t="str">
        <x:v>Tổng phép đối chiếu</x:v>
      </x:c>
      <x:c r="B5" s="13" t="n">
        <x:v>3174</x:v>
      </x:c>
    </x:row>
    <x:row r="6">
      <x:c r="A6" s="13" t="str">
        <x:v>Đạt</x:v>
      </x:c>
      <x:c r="B6" s="13" t="n">
        <x:v>3174</x:v>
      </x:c>
    </x:row>
    <x:row r="7">
      <x:c r="A7" s="13" t="str">
        <x:v>Không đạt</x:v>
      </x:c>
      <x:c r="B7" s="13" t="n">
        <x:v>0</x:v>
      </x:c>
    </x:row>
    <x:row r="8">
      <x:c r="A8" s="13" t="str">
        <x:v>Ngưỡng số tiền</x:v>
      </x:c>
      <x:c r="B8" s="13" t="n">
        <x:v>0.01</x:v>
      </x:c>
    </x:row>
    <x:row r="9">
      <x:c r="A9" s="13" t="str">
        <x:v>Ngưỡng xác suất / margin</x:v>
      </x:c>
      <x:c r="B9" s="13" t="n">
        <x:v>1e-10</x:v>
      </x:c>
    </x:row>
    <x:row r="10">
      <x:c r="A10" s="13"/>
      <x:c r="B10" s="13"/>
    </x:row>
    <x:row r="11">
      <x:c r="A11" s="13" t="str">
        <x:v>Bản chụp kết quả kiểm tra; xem results/reconciliation.csv để kiểm tra từng giá trị.</x:v>
      </x:c>
      <x:c r="B11" s="13"/>
    </x:row>
    <x:row r="12">
      <x:c r="A12" s="13" t="str">
        <x:v>Đổi input cần chạy lại Python → verify_excel.ps1 → reconcile.py.</x:v>
      </x:c>
      <x:c r="B12" s="13"/>
    </x:row>
    <x:row r="13">
      <x:c r="A13" s="13" t="str">
        <x:v>Hash input: 0150e4ace3832586caacdd1cd31c1d9520dada68b448d5579edc807747722e68</x:v>
      </x:c>
      <x:c r="B13" s="13"/>
    </x:row>
  </x:sheetData>
  <x:pageMargins left="0.7" right="0.7" top="0.75" bottom="0.75" header="0.3" footer="0.3"/>
</x:worksheet>
</file>